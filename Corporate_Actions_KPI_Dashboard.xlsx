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Jyothi\Documents\corporate_actions\"/>
    </mc:Choice>
  </mc:AlternateContent>
  <xr:revisionPtr revIDLastSave="0" documentId="13_ncr:1_{7F592730-0A8D-45F4-8759-8C9A7E9CD77C}" xr6:coauthVersionLast="47" xr6:coauthVersionMax="47" xr10:uidLastSave="{00000000-0000-0000-0000-000000000000}"/>
  <bookViews>
    <workbookView xWindow="-110" yWindow="-110" windowWidth="19420" windowHeight="11500" activeTab="3" xr2:uid="{00000000-000D-0000-FFFF-FFFF00000000}"/>
  </bookViews>
  <sheets>
    <sheet name="Corporate_Actions_Data" sheetId="1" r:id="rId1"/>
    <sheet name="KPI" sheetId="5" r:id="rId2"/>
    <sheet name="Pivot" sheetId="6" r:id="rId3"/>
    <sheet name="Dashboard" sheetId="4" r:id="rId4"/>
    <sheet name="KPI Summary" sheetId="2" r:id="rId5"/>
  </sheets>
  <definedNames>
    <definedName name="_xlnm._FilterDatabase" localSheetId="0" hidden="1">Corporate_Actions_Data!$A$1:$M$251</definedName>
    <definedName name="Slicer_Country">#N/A</definedName>
    <definedName name="Slicer_Event_Type">#N/A</definedName>
    <definedName name="Slicer_Market_Cap_Category">#N/A</definedName>
    <definedName name="Slicer_MonthYear">#N/A</definedName>
    <definedName name="Slicer_Secto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B2" i="2"/>
  <c r="E6" i="2" a="1"/>
  <c r="E6" i="2" s="1"/>
  <c r="C6" i="2"/>
  <c r="B6" i="2"/>
  <c r="B5" i="2"/>
  <c r="B3" i="2"/>
  <c r="D6"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<sst xmlns="http://schemas.openxmlformats.org/spreadsheetml/2006/main" count="2571" uniqueCount="336">
  <si>
    <t>Announcement_Date</t>
  </si>
  <si>
    <t>Company_Name</t>
  </si>
  <si>
    <t>Country</t>
  </si>
  <si>
    <t>Exchange</t>
  </si>
  <si>
    <t>Event_Type</t>
  </si>
  <si>
    <t>Security_ID</t>
  </si>
  <si>
    <t>Identifier_Type</t>
  </si>
  <si>
    <t>Announcement_Source</t>
  </si>
  <si>
    <t>Sector</t>
  </si>
  <si>
    <t>Market_Cap_Category</t>
  </si>
  <si>
    <t>Event_Status</t>
  </si>
  <si>
    <t>Global Retail Corp</t>
  </si>
  <si>
    <t>Canada</t>
  </si>
  <si>
    <t>NASDAQ</t>
  </si>
  <si>
    <t>Merger &amp; Acquisition</t>
  </si>
  <si>
    <t>ID925046</t>
  </si>
  <si>
    <t>SEDOL</t>
  </si>
  <si>
    <t>Press Release</t>
  </si>
  <si>
    <t>Finance</t>
  </si>
  <si>
    <t>Mid Cap</t>
  </si>
  <si>
    <t>Completed</t>
  </si>
  <si>
    <t>Quantum Pharma</t>
  </si>
  <si>
    <t>USA</t>
  </si>
  <si>
    <t>TSX</t>
  </si>
  <si>
    <t>ID823220</t>
  </si>
  <si>
    <t>CUSIP</t>
  </si>
  <si>
    <t>Exchange Announcement</t>
  </si>
  <si>
    <t>Large Cap</t>
  </si>
  <si>
    <t>Summit Resources</t>
  </si>
  <si>
    <t>Stock Split</t>
  </si>
  <si>
    <t>ID828074</t>
  </si>
  <si>
    <t>ISIN</t>
  </si>
  <si>
    <t>Evergreen Foods</t>
  </si>
  <si>
    <t>NYSE</t>
  </si>
  <si>
    <t>Rights Issue</t>
  </si>
  <si>
    <t>ID667668</t>
  </si>
  <si>
    <t>Regulatory Filing</t>
  </si>
  <si>
    <t>Telecommunications</t>
  </si>
  <si>
    <t>Nova Materials</t>
  </si>
  <si>
    <t>ID622495</t>
  </si>
  <si>
    <t>Energy</t>
  </si>
  <si>
    <t>Small Cap</t>
  </si>
  <si>
    <t>Announced</t>
  </si>
  <si>
    <t>Tender Offer</t>
  </si>
  <si>
    <t>ID509329</t>
  </si>
  <si>
    <t>Consumer Goods</t>
  </si>
  <si>
    <t>Silverline Industries</t>
  </si>
  <si>
    <t>Dividend</t>
  </si>
  <si>
    <t>ID136180</t>
  </si>
  <si>
    <t>Technology</t>
  </si>
  <si>
    <t>Orion Aerospace</t>
  </si>
  <si>
    <t>ID577662</t>
  </si>
  <si>
    <t>Healthcare</t>
  </si>
  <si>
    <t>Pacific Motors</t>
  </si>
  <si>
    <t>ID531241</t>
  </si>
  <si>
    <t>Confirmed</t>
  </si>
  <si>
    <t>Maple Finance</t>
  </si>
  <si>
    <t>Spin-off</t>
  </si>
  <si>
    <t>ID509418</t>
  </si>
  <si>
    <t>ID837386</t>
  </si>
  <si>
    <t>ID323880</t>
  </si>
  <si>
    <t>ID581172</t>
  </si>
  <si>
    <t>NorthStar Tech</t>
  </si>
  <si>
    <t>ID974141</t>
  </si>
  <si>
    <t>Industrials</t>
  </si>
  <si>
    <t>ID119288</t>
  </si>
  <si>
    <t>ID221440</t>
  </si>
  <si>
    <t>ID450228</t>
  </si>
  <si>
    <t>ID173777</t>
  </si>
  <si>
    <t>Alpha Energy</t>
  </si>
  <si>
    <t>ID814279</t>
  </si>
  <si>
    <t>ID990675</t>
  </si>
  <si>
    <t>ID699615</t>
  </si>
  <si>
    <t>ID867716</t>
  </si>
  <si>
    <t>ID433994</t>
  </si>
  <si>
    <t>Pioneer Media</t>
  </si>
  <si>
    <t>ID589191</t>
  </si>
  <si>
    <t>ID388539</t>
  </si>
  <si>
    <t>ID641646</t>
  </si>
  <si>
    <t>Vertex Telecom</t>
  </si>
  <si>
    <t>ID266107</t>
  </si>
  <si>
    <t>ID342692</t>
  </si>
  <si>
    <t>ID158731</t>
  </si>
  <si>
    <t>ID327171</t>
  </si>
  <si>
    <t>ID143630</t>
  </si>
  <si>
    <t>ID424605</t>
  </si>
  <si>
    <t>ID803264</t>
  </si>
  <si>
    <t>ID718700</t>
  </si>
  <si>
    <t>Crescent Utilities</t>
  </si>
  <si>
    <t>ID670793</t>
  </si>
  <si>
    <t>ID206471</t>
  </si>
  <si>
    <t>ID768740</t>
  </si>
  <si>
    <t>ID270721</t>
  </si>
  <si>
    <t>ID927968</t>
  </si>
  <si>
    <t>ID695028</t>
  </si>
  <si>
    <t>ID726177</t>
  </si>
  <si>
    <t>ID976842</t>
  </si>
  <si>
    <t>ID757084</t>
  </si>
  <si>
    <t>ID674591</t>
  </si>
  <si>
    <t>ID617206</t>
  </si>
  <si>
    <t>ID767265</t>
  </si>
  <si>
    <t>ID350803</t>
  </si>
  <si>
    <t>ID426908</t>
  </si>
  <si>
    <t>ID891227</t>
  </si>
  <si>
    <t>ID599142</t>
  </si>
  <si>
    <t>ID852285</t>
  </si>
  <si>
    <t>ID413312</t>
  </si>
  <si>
    <t>ID362467</t>
  </si>
  <si>
    <t>BlueWave Logistics</t>
  </si>
  <si>
    <t>ID531926</t>
  </si>
  <si>
    <t>ID174677</t>
  </si>
  <si>
    <t>ID744066</t>
  </si>
  <si>
    <t>ID112232</t>
  </si>
  <si>
    <t>ID490180</t>
  </si>
  <si>
    <t>ID699418</t>
  </si>
  <si>
    <t>ID596949</t>
  </si>
  <si>
    <t>ID899380</t>
  </si>
  <si>
    <t>ID861233</t>
  </si>
  <si>
    <t>ID384957</t>
  </si>
  <si>
    <t>ID639180</t>
  </si>
  <si>
    <t>ID958569</t>
  </si>
  <si>
    <t>ID305131</t>
  </si>
  <si>
    <t>ID649164</t>
  </si>
  <si>
    <t>ID320382</t>
  </si>
  <si>
    <t>ID788311</t>
  </si>
  <si>
    <t>ID910167</t>
  </si>
  <si>
    <t>ID818354</t>
  </si>
  <si>
    <t>ID149725</t>
  </si>
  <si>
    <t>ID839123</t>
  </si>
  <si>
    <t>ID190900</t>
  </si>
  <si>
    <t>ID743381</t>
  </si>
  <si>
    <t>ID263542</t>
  </si>
  <si>
    <t>ID832182</t>
  </si>
  <si>
    <t>ID528243</t>
  </si>
  <si>
    <t>ID242366</t>
  </si>
  <si>
    <t>ID858466</t>
  </si>
  <si>
    <t>ID619006</t>
  </si>
  <si>
    <t>ID259998</t>
  </si>
  <si>
    <t>ID993835</t>
  </si>
  <si>
    <t>ID429972</t>
  </si>
  <si>
    <t>ID147587</t>
  </si>
  <si>
    <t>ID384879</t>
  </si>
  <si>
    <t>ID371897</t>
  </si>
  <si>
    <t>ID398087</t>
  </si>
  <si>
    <t>ID590338</t>
  </si>
  <si>
    <t>ID520429</t>
  </si>
  <si>
    <t>ID211329</t>
  </si>
  <si>
    <t>ID829239</t>
  </si>
  <si>
    <t>ID232369</t>
  </si>
  <si>
    <t>ID107176</t>
  </si>
  <si>
    <t>ID256708</t>
  </si>
  <si>
    <t>ID371132</t>
  </si>
  <si>
    <t>ID400328</t>
  </si>
  <si>
    <t>ID374317</t>
  </si>
  <si>
    <t>ID803365</t>
  </si>
  <si>
    <t>ID178846</t>
  </si>
  <si>
    <t>ID918427</t>
  </si>
  <si>
    <t>ID657824</t>
  </si>
  <si>
    <t>ID149688</t>
  </si>
  <si>
    <t>ID731766</t>
  </si>
  <si>
    <t>ID183737</t>
  </si>
  <si>
    <t>ID509533</t>
  </si>
  <si>
    <t>ID842899</t>
  </si>
  <si>
    <t>ID868141</t>
  </si>
  <si>
    <t>ID674227</t>
  </si>
  <si>
    <t>ID861368</t>
  </si>
  <si>
    <t>ID565518</t>
  </si>
  <si>
    <t>ID362063</t>
  </si>
  <si>
    <t>ID538446</t>
  </si>
  <si>
    <t>ID170240</t>
  </si>
  <si>
    <t>ID953020</t>
  </si>
  <si>
    <t>ID561248</t>
  </si>
  <si>
    <t>ID398587</t>
  </si>
  <si>
    <t>ID705943</t>
  </si>
  <si>
    <t>ID336274</t>
  </si>
  <si>
    <t>ID749364</t>
  </si>
  <si>
    <t>ID817576</t>
  </si>
  <si>
    <t>ID719676</t>
  </si>
  <si>
    <t>ID421342</t>
  </si>
  <si>
    <t>ID247152</t>
  </si>
  <si>
    <t>ID419412</t>
  </si>
  <si>
    <t>ID366014</t>
  </si>
  <si>
    <t>ID100877</t>
  </si>
  <si>
    <t>ID535562</t>
  </si>
  <si>
    <t>ID648183</t>
  </si>
  <si>
    <t>ID491249</t>
  </si>
  <si>
    <t>ID440105</t>
  </si>
  <si>
    <t>ID653324</t>
  </si>
  <si>
    <t>ID838081</t>
  </si>
  <si>
    <t>ID518513</t>
  </si>
  <si>
    <t>ID747385</t>
  </si>
  <si>
    <t>ID337540</t>
  </si>
  <si>
    <t>ID819923</t>
  </si>
  <si>
    <t>ID973962</t>
  </si>
  <si>
    <t>ID770091</t>
  </si>
  <si>
    <t>ID438501</t>
  </si>
  <si>
    <t>ID828903</t>
  </si>
  <si>
    <t>ID689819</t>
  </si>
  <si>
    <t>ID836351</t>
  </si>
  <si>
    <t>ID587502</t>
  </si>
  <si>
    <t>ID840716</t>
  </si>
  <si>
    <t>ID695589</t>
  </si>
  <si>
    <t>ID705550</t>
  </si>
  <si>
    <t>ID630350</t>
  </si>
  <si>
    <t>ID812760</t>
  </si>
  <si>
    <t>ID829790</t>
  </si>
  <si>
    <t>ID518548</t>
  </si>
  <si>
    <t>ID190473</t>
  </si>
  <si>
    <t>ID403869</t>
  </si>
  <si>
    <t>ID447639</t>
  </si>
  <si>
    <t>ID278287</t>
  </si>
  <si>
    <t>ID145729</t>
  </si>
  <si>
    <t>ID249203</t>
  </si>
  <si>
    <t>ID368811</t>
  </si>
  <si>
    <t>ID671385</t>
  </si>
  <si>
    <t>ID630871</t>
  </si>
  <si>
    <t>ID270201</t>
  </si>
  <si>
    <t>ID571354</t>
  </si>
  <si>
    <t>ID227438</t>
  </si>
  <si>
    <t>ID355478</t>
  </si>
  <si>
    <t>ID912046</t>
  </si>
  <si>
    <t>ID302314</t>
  </si>
  <si>
    <t>ID295610</t>
  </si>
  <si>
    <t>ID992545</t>
  </si>
  <si>
    <t>ID555991</t>
  </si>
  <si>
    <t>ID970841</t>
  </si>
  <si>
    <t>ID154342</t>
  </si>
  <si>
    <t>ID150353</t>
  </si>
  <si>
    <t>ID631486</t>
  </si>
  <si>
    <t>ID916068</t>
  </si>
  <si>
    <t>ID257263</t>
  </si>
  <si>
    <t>ID462152</t>
  </si>
  <si>
    <t>ID442237</t>
  </si>
  <si>
    <t>ID750724</t>
  </si>
  <si>
    <t>ID545448</t>
  </si>
  <si>
    <t>ID570166</t>
  </si>
  <si>
    <t>ID843886</t>
  </si>
  <si>
    <t>ID463393</t>
  </si>
  <si>
    <t>ID900820</t>
  </si>
  <si>
    <t>ID304876</t>
  </si>
  <si>
    <t>ID364933</t>
  </si>
  <si>
    <t>ID443612</t>
  </si>
  <si>
    <t>ID850727</t>
  </si>
  <si>
    <t>ID292188</t>
  </si>
  <si>
    <t>ID155769</t>
  </si>
  <si>
    <t>ID539041</t>
  </si>
  <si>
    <t>ID365893</t>
  </si>
  <si>
    <t>ID879053</t>
  </si>
  <si>
    <t>ID186151</t>
  </si>
  <si>
    <t>ID737207</t>
  </si>
  <si>
    <t>ID442282</t>
  </si>
  <si>
    <t>ID261108</t>
  </si>
  <si>
    <t>ID705434</t>
  </si>
  <si>
    <t>ID318072</t>
  </si>
  <si>
    <t>ID635103</t>
  </si>
  <si>
    <t>ID207309</t>
  </si>
  <si>
    <t>ID237128</t>
  </si>
  <si>
    <t>ID554557</t>
  </si>
  <si>
    <t>ID825298</t>
  </si>
  <si>
    <t>ID731281</t>
  </si>
  <si>
    <t>ID784299</t>
  </si>
  <si>
    <t>ID954748</t>
  </si>
  <si>
    <t>ID732579</t>
  </si>
  <si>
    <t>ID361695</t>
  </si>
  <si>
    <t>ID823917</t>
  </si>
  <si>
    <t>ID578845</t>
  </si>
  <si>
    <t>ID155926</t>
  </si>
  <si>
    <t>ID291675</t>
  </si>
  <si>
    <t>ID423300</t>
  </si>
  <si>
    <t>ID110365</t>
  </si>
  <si>
    <t>ID174324</t>
  </si>
  <si>
    <t>ID624175</t>
  </si>
  <si>
    <t>ID449216</t>
  </si>
  <si>
    <t>ID606402</t>
  </si>
  <si>
    <t>ID846182</t>
  </si>
  <si>
    <t>ID787830</t>
  </si>
  <si>
    <t>ID472562</t>
  </si>
  <si>
    <t>ID700196</t>
  </si>
  <si>
    <t>ID397343</t>
  </si>
  <si>
    <t>ID712537</t>
  </si>
  <si>
    <t>ID209752</t>
  </si>
  <si>
    <t>ID465966</t>
  </si>
  <si>
    <t>ID853392</t>
  </si>
  <si>
    <t>ID327157</t>
  </si>
  <si>
    <t>ID886253</t>
  </si>
  <si>
    <t>ID181517</t>
  </si>
  <si>
    <t>ID218619</t>
  </si>
  <si>
    <t>ID665871</t>
  </si>
  <si>
    <t>ID388808</t>
  </si>
  <si>
    <t>ID844980</t>
  </si>
  <si>
    <t>ID974308</t>
  </si>
  <si>
    <t>ID167873</t>
  </si>
  <si>
    <t>ID650911</t>
  </si>
  <si>
    <t>ID769445</t>
  </si>
  <si>
    <t>ID397309</t>
  </si>
  <si>
    <t>ID949208</t>
  </si>
  <si>
    <t>ID950476</t>
  </si>
  <si>
    <t>ID105155</t>
  </si>
  <si>
    <t>ID855168</t>
  </si>
  <si>
    <t>ID311364</t>
  </si>
  <si>
    <t>ID416803</t>
  </si>
  <si>
    <t>ID973924</t>
  </si>
  <si>
    <t>ID417173</t>
  </si>
  <si>
    <t>ID516429</t>
  </si>
  <si>
    <t>ID333434</t>
  </si>
  <si>
    <t>ID616370</t>
  </si>
  <si>
    <t>KPI</t>
  </si>
  <si>
    <t>Value</t>
  </si>
  <si>
    <t>Total Corporate Actions</t>
  </si>
  <si>
    <t>Total Companies</t>
  </si>
  <si>
    <t>Most Frequent Event Type</t>
  </si>
  <si>
    <t>Row Labels</t>
  </si>
  <si>
    <t>Grand Total</t>
  </si>
  <si>
    <t>Count of Event_Type</t>
  </si>
  <si>
    <t>Rights Issue &amp; Tender Offer</t>
  </si>
  <si>
    <t>Events this Month</t>
  </si>
  <si>
    <t>Unique Markets Covered</t>
  </si>
  <si>
    <t>Country-Exchange</t>
  </si>
  <si>
    <t>2025</t>
  </si>
  <si>
    <t>2026</t>
  </si>
  <si>
    <t>Corporate Actions Dashboard</t>
  </si>
  <si>
    <t>Apr</t>
  </si>
  <si>
    <t>May</t>
  </si>
  <si>
    <t>Jun</t>
  </si>
  <si>
    <t>MonthYear</t>
  </si>
  <si>
    <t>Jul</t>
  </si>
  <si>
    <t>Aug</t>
  </si>
  <si>
    <t>Sep</t>
  </si>
  <si>
    <t>Oct</t>
  </si>
  <si>
    <t>Nov</t>
  </si>
  <si>
    <t>Dec</t>
  </si>
  <si>
    <t>Jan</t>
  </si>
  <si>
    <t>Feb</t>
  </si>
  <si>
    <t>Mar</t>
  </si>
  <si>
    <t>x`</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</si>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</sst>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yyyy/mm/dd;@"/>
    <numFmt numFmtId="165" formatCode="yyyy/mm"/>
  </numFmts>
  <fonts count="3" x14ac:knownFonts="1">
    <font>
      <sz val="11"/>
      <color theme="1"/>
      <name val="Calibri"/>
      <family val="2"/>
      <scheme val="minor"/>
    </font>
    <font>
      <b/>
      <sz val="36"/>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applyAlignment="1">
      <alignment horizontal="center" vertical="center"/>
    </xf>
    <xf numFmtId="164" fontId="0" fillId="0" borderId="0" xfId="0" applyNumberFormat="1"/>
    <xf numFmtId="0" fontId="2" fillId="0" borderId="0" xfId="0" applyFont="1" applyAlignment="1">
      <alignment horizontal="left" vertical="center" indent="1"/>
    </xf>
    <xf numFmtId="165" fontId="0" fillId="0" borderId="0" xfId="0" applyNumberFormat="1"/>
    <xf numFmtId="0" fontId="1" fillId="2" borderId="0" xfId="0" applyFont="1" applyFill="1" applyAlignment="1">
      <alignment horizontal="center" vertical="center"/>
    </xf>
    <xf numFmtId="0" fontId="0" fillId="0" borderId="0" xfId="0" applyNumberFormat="1"/>
  </cellXfs>
  <cellStyles count="1">
    <cellStyle name="Normal" xfId="0" builtinId="0"/>
  </cellStyles>
  <dxfs count="2">
    <dxf>
      <numFmt numFmtId="165" formatCode="yyyy/mm"/>
    </dxf>
    <dxf>
      <numFmt numFmtId="164" formatCode="[$-14009]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[Corporate_Actions_KPI_Dashboard.xlsx]Pivot!MonthPivot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c:f>
              <c:strCache>
                <c:ptCount val="1"/>
                <c:pt idx="0">
                  <c:v>Total</c:v>
                </c:pt>
              </c:strCache>
            </c:strRef>
          </c:tx>
          <c:spPr>
            <a:ln w="28575" cap="rnd">
              <a:solidFill>
                <a:schemeClr val="accent1"/>
              </a:solidFill>
              <a:round/>
            </a:ln>
            <a:effectLst/>
          </c:spPr>
          <c:marker>
            <c:symbol val="none"/>
          </c:marker>
          <c:cat>
            <c:multiLvlStrRef>
              <c:f>Pivot!$A$3:$A$17</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2025</c:v>
                  </c:pt>
                  <c:pt idx="9">
                    <c:v>2026</c:v>
                  </c:pt>
                </c:lvl>
              </c:multiLvlStrCache>
            </c:multiLvlStrRef>
          </c:cat>
          <c:val>
            <c:numRef>
              <c:f>Pivot!$B$3:$B$17</c:f>
              <c:numCache>
                <c:formatCode>General</c:formatCode>
                <c:ptCount val="12"/>
                <c:pt idx="0">
                  <c:v>17</c:v>
                </c:pt>
                <c:pt idx="1">
                  <c:v>24</c:v>
                </c:pt>
                <c:pt idx="2">
                  <c:v>23</c:v>
                </c:pt>
                <c:pt idx="3">
                  <c:v>22</c:v>
                </c:pt>
                <c:pt idx="4">
                  <c:v>25</c:v>
                </c:pt>
                <c:pt idx="5">
                  <c:v>19</c:v>
                </c:pt>
                <c:pt idx="6">
                  <c:v>28</c:v>
                </c:pt>
                <c:pt idx="7">
                  <c:v>12</c:v>
                </c:pt>
                <c:pt idx="8">
                  <c:v>14</c:v>
                </c:pt>
                <c:pt idx="9">
                  <c:v>22</c:v>
                </c:pt>
                <c:pt idx="10">
                  <c:v>23</c:v>
                </c:pt>
                <c:pt idx="11">
                  <c:v>21</c:v>
                </c:pt>
              </c:numCache>
            </c:numRef>
          </c:val>
          <c:smooth val="0"/>
          <c:extLst>
            <c:ext xmlns:c16="http://schemas.microsoft.com/office/drawing/2014/chart" uri="{C3380CC4-5D6E-409C-BE32-E72D297353CC}">
              <c16:uniqueId val="{00000000-9E58-493B-AED0-6D3558805F07}"/>
            </c:ext>
          </c:extLst>
        </c:ser>
        <c:dLbls>
          <c:showLegendKey val="0"/>
          <c:showVal val="0"/>
          <c:showCatName val="0"/>
          <c:showSerName val="0"/>
          <c:showPercent val="0"/>
          <c:showBubbleSize val="0"/>
        </c:dLbls>
        <c:smooth val="0"/>
        <c:axId val="606372031"/>
        <c:axId val="1842557567"/>
      </c:lineChart>
      <c:catAx>
        <c:axId val="60637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57567"/>
        <c:crosses val="autoZero"/>
        <c:auto val="1"/>
        <c:lblAlgn val="ctr"/>
        <c:lblOffset val="100"/>
        <c:noMultiLvlLbl val="0"/>
      </c:catAx>
      <c:valAx>
        <c:axId val="184255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7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[Corporate_Actions_KPI_Dashboard.xlsx]Pivot!SectorPivot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Sectors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Pivot!$B$20</c:f>
              <c:strCache>
                <c:ptCount val="1"/>
                <c:pt idx="0">
                  <c:v>Total</c:v>
                </c:pt>
              </c:strCache>
            </c:strRef>
          </c:tx>
          <c:spPr>
            <a:solidFill>
              <a:schemeClr val="accent1"/>
            </a:solidFill>
            <a:ln>
              <a:noFill/>
            </a:ln>
            <a:effectLst/>
          </c:spPr>
          <c:invertIfNegative val="0"/>
          <c:cat>
            <c:strRef>
              <c:f>Pivot!$A$21:$A$28</c:f>
              <c:strCache>
                <c:ptCount val="7"/>
                <c:pt idx="0">
                  <c:v>Consumer Goods</c:v>
                </c:pt>
                <c:pt idx="1">
                  <c:v>Industrials</c:v>
                </c:pt>
                <c:pt idx="2">
                  <c:v>Finance</c:v>
                </c:pt>
                <c:pt idx="3">
                  <c:v>Energy</c:v>
                </c:pt>
                <c:pt idx="4">
                  <c:v>Telecommunications</c:v>
                </c:pt>
                <c:pt idx="5">
                  <c:v>Healthcare</c:v>
                </c:pt>
                <c:pt idx="6">
                  <c:v>Technology</c:v>
                </c:pt>
              </c:strCache>
            </c:strRef>
          </c:cat>
          <c:val>
            <c:numRef>
              <c:f>Pivot!$B$21:$B$28</c:f>
              <c:numCache>
                <c:formatCode>General</c:formatCode>
                <c:ptCount val="7"/>
                <c:pt idx="0">
                  <c:v>40</c:v>
                </c:pt>
                <c:pt idx="1">
                  <c:v>37</c:v>
                </c:pt>
                <c:pt idx="2">
                  <c:v>36</c:v>
                </c:pt>
                <c:pt idx="3">
                  <c:v>35</c:v>
                </c:pt>
                <c:pt idx="4">
                  <c:v>35</c:v>
                </c:pt>
                <c:pt idx="5">
                  <c:v>34</c:v>
                </c:pt>
                <c:pt idx="6">
                  <c:v>33</c:v>
                </c:pt>
              </c:numCache>
            </c:numRef>
          </c:val>
          <c:extLst>
            <c:ext xmlns:c16="http://schemas.microsoft.com/office/drawing/2014/chart" uri="{C3380CC4-5D6E-409C-BE32-E72D297353CC}">
              <c16:uniqueId val="{00000000-A7A9-4AF2-BED6-5CFB351C730D}"/>
            </c:ext>
          </c:extLst>
        </c:ser>
        <c:dLbls>
          <c:showLegendKey val="0"/>
          <c:showVal val="0"/>
          <c:showCatName val="0"/>
          <c:showSerName val="0"/>
          <c:showPercent val="0"/>
          <c:showBubbleSize val="0"/>
        </c:dLbls>
        <c:gapWidth val="219"/>
        <c:overlap val="-27"/>
        <c:axId val="1982286879"/>
        <c:axId val="1982299839"/>
      </c:barChart>
      <c:catAx>
        <c:axId val="198228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99839"/>
        <c:crosses val="autoZero"/>
        <c:auto val="1"/>
        <c:lblAlgn val="ctr"/>
        <c:lblOffset val="100"/>
        <c:noMultiLvlLbl val="0"/>
      </c:catAx>
      <c:valAx>
        <c:axId val="1982299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8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[Corporate_Actions_KPI_Dashboard.xlsx]Pivot!EventPivot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Event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Pivot!$B$34</c:f>
              <c:strCache>
                <c:ptCount val="1"/>
                <c:pt idx="0">
                  <c:v>Total</c:v>
                </c:pt>
              </c:strCache>
            </c:strRef>
          </c:tx>
          <c:spPr>
            <a:solidFill>
              <a:schemeClr val="accent1"/>
            </a:solidFill>
            <a:ln>
              <a:noFill/>
            </a:ln>
            <a:effectLst/>
          </c:spPr>
          <c:invertIfNegative val="0"/>
          <c:cat>
            <c:strRef>
              <c:f>Pivot!$A$35:$A$41</c:f>
              <c:strCache>
                <c:ptCount val="6"/>
                <c:pt idx="0">
                  <c:v>Tender Offer</c:v>
                </c:pt>
                <c:pt idx="1">
                  <c:v>Rights Issue</c:v>
                </c:pt>
                <c:pt idx="2">
                  <c:v>Dividend</c:v>
                </c:pt>
                <c:pt idx="3">
                  <c:v>Merger &amp; Acquisition</c:v>
                </c:pt>
                <c:pt idx="4">
                  <c:v>Stock Split</c:v>
                </c:pt>
                <c:pt idx="5">
                  <c:v>Spin-off</c:v>
                </c:pt>
              </c:strCache>
            </c:strRef>
          </c:cat>
          <c:val>
            <c:numRef>
              <c:f>Pivot!$B$35:$B$41</c:f>
              <c:numCache>
                <c:formatCode>General</c:formatCode>
                <c:ptCount val="6"/>
                <c:pt idx="0">
                  <c:v>45</c:v>
                </c:pt>
                <c:pt idx="1">
                  <c:v>45</c:v>
                </c:pt>
                <c:pt idx="2">
                  <c:v>43</c:v>
                </c:pt>
                <c:pt idx="3">
                  <c:v>41</c:v>
                </c:pt>
                <c:pt idx="4">
                  <c:v>40</c:v>
                </c:pt>
                <c:pt idx="5">
                  <c:v>36</c:v>
                </c:pt>
              </c:numCache>
            </c:numRef>
          </c:val>
          <c:extLst>
            <c:ext xmlns:c16="http://schemas.microsoft.com/office/drawing/2014/chart" uri="{C3380CC4-5D6E-409C-BE32-E72D297353CC}">
              <c16:uniqueId val="{00000000-9C53-4DDA-9C4B-DA6CA9B42623}"/>
            </c:ext>
          </c:extLst>
        </c:ser>
        <c:dLbls>
          <c:showLegendKey val="0"/>
          <c:showVal val="0"/>
          <c:showCatName val="0"/>
          <c:showSerName val="0"/>
          <c:showPercent val="0"/>
          <c:showBubbleSize val="0"/>
        </c:dLbls>
        <c:gapWidth val="219"/>
        <c:overlap val="-27"/>
        <c:axId val="1834607663"/>
        <c:axId val="1834608623"/>
      </c:barChart>
      <c:catAx>
        <c:axId val="183460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08623"/>
        <c:crosses val="autoZero"/>
        <c:auto val="1"/>
        <c:lblAlgn val="ctr"/>
        <c:lblOffset val="100"/>
        <c:noMultiLvlLbl val="0"/>
      </c:catAx>
      <c:valAx>
        <c:axId val="183460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0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[Corporate_Actions_KPI_Dashboard.xlsx]Pivot!PivotTable2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Events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barChart>
        <c:barDir val="col"/>
        <c:grouping val="clustered"/>
        <c:varyColors val="0"/>
        <c:ser>
          <c:idx val="0"/>
          <c:order val="0"/>
          <c:tx>
            <c:strRef>
              <c:f>Pivot!$B$49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E64A-4E16-BF54-1D2F989B28A9}"/>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E64A-4E16-BF54-1D2F989B28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Pivot!$A$50:$A$52</c:f>
              <c:strCache>
                <c:ptCount val="2"/>
                <c:pt idx="0">
                  <c:v>Canada</c:v>
                </c:pt>
                <c:pt idx="1">
                  <c:v>USA</c:v>
                </c:pt>
              </c:strCache>
            </c:strRef>
          </c:cat>
          <c:val>
            <c:numRef>
              <c:f>Pivot!$B$50:$B$52</c:f>
              <c:numCache>
                <c:formatCode>General</c:formatCode>
                <c:ptCount val="2"/>
                <c:pt idx="0">
                  <c:v>131</c:v>
                </c:pt>
                <c:pt idx="1">
                  <c:v>119</c:v>
                </c:pt>
              </c:numCache>
            </c:numRef>
          </c:val>
          <c:extLst>
            <c:ext xmlns:c16="http://schemas.microsoft.com/office/drawing/2014/chart" uri="{C3380CC4-5D6E-409C-BE32-E72D297353CC}">
              <c16:uniqueId val="{00000000-899A-4E3E-89B0-AF75BBB9CFF3}"/>
            </c:ext>
          </c:extLst>
        </c:ser>
        <c:dLbls>
          <c:showLegendKey val="0"/>
          <c:showVal val="0"/>
          <c:showCatName val="0"/>
          <c:showSerName val="0"/>
          <c:showPercent val="0"/>
          <c:showBubbleSize val="0"/>
        </c:dLbls>
        <c:gapWidth val="100"/>
        <c:axId val="1943533567"/>
        <c:axId val="1943534047"/>
      </c:barChart>
      <c:catAx>
        <c:axId val="1943533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534047"/>
        <c:crosses val="autoZero"/>
        <c:auto val="1"/>
        <c:lblAlgn val="ctr"/>
        <c:lblOffset val="100"/>
        <c:noMultiLvlLbl val="0"/>
      </c:catAx>
      <c:valAx>
        <c:axId val="1943534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53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[Corporate_Actions_KPI_Dashboard.xlsx]Pivot!PivotTable9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 Cap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barChart>
        <c:barDir val="col"/>
        <c:grouping val="clustered"/>
        <c:varyColors val="0"/>
        <c:ser>
          <c:idx val="0"/>
          <c:order val="0"/>
          <c:tx>
            <c:strRef>
              <c:f>Pivot!$B$63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97AC-4F67-9105-E821523D7FAA}"/>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97AC-4F67-9105-E821523D7FAA}"/>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97AC-4F67-9105-E821523D7F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Pivot!$A$64:$A$67</c:f>
              <c:strCache>
                <c:ptCount val="3"/>
                <c:pt idx="0">
                  <c:v>Large Cap</c:v>
                </c:pt>
                <c:pt idx="1">
                  <c:v>Mid Cap</c:v>
                </c:pt>
                <c:pt idx="2">
                  <c:v>Small Cap</c:v>
                </c:pt>
              </c:strCache>
            </c:strRef>
          </c:cat>
          <c:val>
            <c:numRef>
              <c:f>Pivot!$B$64:$B$67</c:f>
              <c:numCache>
                <c:formatCode>General</c:formatCode>
                <c:ptCount val="3"/>
                <c:pt idx="0">
                  <c:v>96</c:v>
                </c:pt>
                <c:pt idx="1">
                  <c:v>81</c:v>
                </c:pt>
                <c:pt idx="2">
                  <c:v>73</c:v>
                </c:pt>
              </c:numCache>
            </c:numRef>
          </c:val>
          <c:extLst>
            <c:ext xmlns:c16="http://schemas.microsoft.com/office/drawing/2014/chart" uri="{C3380CC4-5D6E-409C-BE32-E72D297353CC}">
              <c16:uniqueId val="{00000000-76CA-4CC6-B78F-0F531887076B}"/>
            </c:ext>
          </c:extLst>
        </c:ser>
        <c:dLbls>
          <c:showLegendKey val="0"/>
          <c:showVal val="0"/>
          <c:showCatName val="0"/>
          <c:showSerName val="0"/>
          <c:showPercent val="0"/>
          <c:showBubbleSize val="0"/>
        </c:dLbls>
        <c:gapWidth val="100"/>
        <c:axId val="1943476927"/>
        <c:axId val="1216395327"/>
      </c:barChart>
      <c:catAx>
        <c:axId val="1943476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95327"/>
        <c:crosses val="autoZero"/>
        <c:auto val="1"/>
        <c:lblAlgn val="ctr"/>
        <c:lblOffset val="100"/>
        <c:noMultiLvlLbl val="0"/>
      </c:catAx>
      <c:valAx>
        <c:axId val="121639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47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[Corporate_Actions_KPI_Dashboard.xlsx]Pivot!MonthPivot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c:f>
              <c:strCache>
                <c:ptCount val="1"/>
                <c:pt idx="0">
                  <c:v>Total</c:v>
                </c:pt>
              </c:strCache>
            </c:strRef>
          </c:tx>
          <c:spPr>
            <a:ln w="28575" cap="rnd">
              <a:solidFill>
                <a:schemeClr val="accent1"/>
              </a:solidFill>
              <a:round/>
            </a:ln>
            <a:effectLst/>
          </c:spPr>
          <c:marker>
            <c:symbol val="none"/>
          </c:marker>
          <c:cat>
            <c:multiLvlStrRef>
              <c:f>Pivot!$A$3:$A$17</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2025</c:v>
                  </c:pt>
                  <c:pt idx="9">
                    <c:v>2026</c:v>
                  </c:pt>
                </c:lvl>
              </c:multiLvlStrCache>
            </c:multiLvlStrRef>
          </c:cat>
          <c:val>
            <c:numRef>
              <c:f>Pivot!$B$3:$B$17</c:f>
              <c:numCache>
                <c:formatCode>General</c:formatCode>
                <c:ptCount val="12"/>
                <c:pt idx="0">
                  <c:v>17</c:v>
                </c:pt>
                <c:pt idx="1">
                  <c:v>24</c:v>
                </c:pt>
                <c:pt idx="2">
                  <c:v>23</c:v>
                </c:pt>
                <c:pt idx="3">
                  <c:v>22</c:v>
                </c:pt>
                <c:pt idx="4">
                  <c:v>25</c:v>
                </c:pt>
                <c:pt idx="5">
                  <c:v>19</c:v>
                </c:pt>
                <c:pt idx="6">
                  <c:v>28</c:v>
                </c:pt>
                <c:pt idx="7">
                  <c:v>12</c:v>
                </c:pt>
                <c:pt idx="8">
                  <c:v>14</c:v>
                </c:pt>
                <c:pt idx="9">
                  <c:v>22</c:v>
                </c:pt>
                <c:pt idx="10">
                  <c:v>23</c:v>
                </c:pt>
                <c:pt idx="11">
                  <c:v>21</c:v>
                </c:pt>
              </c:numCache>
            </c:numRef>
          </c:val>
          <c:smooth val="0"/>
          <c:extLst>
            <c:ext xmlns:c16="http://schemas.microsoft.com/office/drawing/2014/chart" uri="{C3380CC4-5D6E-409C-BE32-E72D297353CC}">
              <c16:uniqueId val="{00000000-97BA-4EE4-B823-F0E0DE73628F}"/>
            </c:ext>
          </c:extLst>
        </c:ser>
        <c:dLbls>
          <c:showLegendKey val="0"/>
          <c:showVal val="0"/>
          <c:showCatName val="0"/>
          <c:showSerName val="0"/>
          <c:showPercent val="0"/>
          <c:showBubbleSize val="0"/>
        </c:dLbls>
        <c:smooth val="0"/>
        <c:axId val="606372031"/>
        <c:axId val="1842557567"/>
      </c:lineChart>
      <c:catAx>
        <c:axId val="60637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57567"/>
        <c:crosses val="autoZero"/>
        <c:auto val="1"/>
        <c:lblAlgn val="ctr"/>
        <c:lblOffset val="100"/>
        <c:noMultiLvlLbl val="0"/>
      </c:catAx>
      <c:valAx>
        <c:axId val="184255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7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[Corporate_Actions_KPI_Dashboard.xlsx]Pivot!SectorPivot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Sectors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Pivot!$B$20</c:f>
              <c:strCache>
                <c:ptCount val="1"/>
                <c:pt idx="0">
                  <c:v>Total</c:v>
                </c:pt>
              </c:strCache>
            </c:strRef>
          </c:tx>
          <c:spPr>
            <a:solidFill>
              <a:schemeClr val="accent1"/>
            </a:solidFill>
            <a:ln>
              <a:noFill/>
            </a:ln>
            <a:effectLst/>
          </c:spPr>
          <c:invertIfNegative val="0"/>
          <c:cat>
            <c:strRef>
              <c:f>Pivot!$A$21:$A$28</c:f>
              <c:strCache>
                <c:ptCount val="7"/>
                <c:pt idx="0">
                  <c:v>Consumer Goods</c:v>
                </c:pt>
                <c:pt idx="1">
                  <c:v>Industrials</c:v>
                </c:pt>
                <c:pt idx="2">
                  <c:v>Finance</c:v>
                </c:pt>
                <c:pt idx="3">
                  <c:v>Energy</c:v>
                </c:pt>
                <c:pt idx="4">
                  <c:v>Telecommunications</c:v>
                </c:pt>
                <c:pt idx="5">
                  <c:v>Healthcare</c:v>
                </c:pt>
                <c:pt idx="6">
                  <c:v>Technology</c:v>
                </c:pt>
              </c:strCache>
            </c:strRef>
          </c:cat>
          <c:val>
            <c:numRef>
              <c:f>Pivot!$B$21:$B$28</c:f>
              <c:numCache>
                <c:formatCode>General</c:formatCode>
                <c:ptCount val="7"/>
                <c:pt idx="0">
                  <c:v>40</c:v>
                </c:pt>
                <c:pt idx="1">
                  <c:v>37</c:v>
                </c:pt>
                <c:pt idx="2">
                  <c:v>36</c:v>
                </c:pt>
                <c:pt idx="3">
                  <c:v>35</c:v>
                </c:pt>
                <c:pt idx="4">
                  <c:v>35</c:v>
                </c:pt>
                <c:pt idx="5">
                  <c:v>34</c:v>
                </c:pt>
                <c:pt idx="6">
                  <c:v>33</c:v>
                </c:pt>
              </c:numCache>
            </c:numRef>
          </c:val>
          <c:extLst>
            <c:ext xmlns:c16="http://schemas.microsoft.com/office/drawing/2014/chart" uri="{C3380CC4-5D6E-409C-BE32-E72D297353CC}">
              <c16:uniqueId val="{00000000-B326-4B6B-ABBE-128715028D6E}"/>
            </c:ext>
          </c:extLst>
        </c:ser>
        <c:dLbls>
          <c:showLegendKey val="0"/>
          <c:showVal val="0"/>
          <c:showCatName val="0"/>
          <c:showSerName val="0"/>
          <c:showPercent val="0"/>
          <c:showBubbleSize val="0"/>
        </c:dLbls>
        <c:gapWidth val="219"/>
        <c:overlap val="-27"/>
        <c:axId val="1982286879"/>
        <c:axId val="1982299839"/>
      </c:barChart>
      <c:catAx>
        <c:axId val="198228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99839"/>
        <c:crosses val="autoZero"/>
        <c:auto val="1"/>
        <c:lblAlgn val="ctr"/>
        <c:lblOffset val="100"/>
        <c:noMultiLvlLbl val="0"/>
      </c:catAx>
      <c:valAx>
        <c:axId val="1982299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8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[Corporate_Actions_KPI_Dashboard.xlsx]Pivot!EventPivot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Event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Pivot!$B$34</c:f>
              <c:strCache>
                <c:ptCount val="1"/>
                <c:pt idx="0">
                  <c:v>Total</c:v>
                </c:pt>
              </c:strCache>
            </c:strRef>
          </c:tx>
          <c:spPr>
            <a:solidFill>
              <a:schemeClr val="accent1"/>
            </a:solidFill>
            <a:ln>
              <a:noFill/>
            </a:ln>
            <a:effectLst/>
          </c:spPr>
          <c:invertIfNegative val="0"/>
          <c:cat>
            <c:strRef>
              <c:f>Pivot!$A$35:$A$41</c:f>
              <c:strCache>
                <c:ptCount val="6"/>
                <c:pt idx="0">
                  <c:v>Tender Offer</c:v>
                </c:pt>
                <c:pt idx="1">
                  <c:v>Rights Issue</c:v>
                </c:pt>
                <c:pt idx="2">
                  <c:v>Dividend</c:v>
                </c:pt>
                <c:pt idx="3">
                  <c:v>Merger &amp; Acquisition</c:v>
                </c:pt>
                <c:pt idx="4">
                  <c:v>Stock Split</c:v>
                </c:pt>
                <c:pt idx="5">
                  <c:v>Spin-off</c:v>
                </c:pt>
              </c:strCache>
            </c:strRef>
          </c:cat>
          <c:val>
            <c:numRef>
              <c:f>Pivot!$B$35:$B$41</c:f>
              <c:numCache>
                <c:formatCode>General</c:formatCode>
                <c:ptCount val="6"/>
                <c:pt idx="0">
                  <c:v>45</c:v>
                </c:pt>
                <c:pt idx="1">
                  <c:v>45</c:v>
                </c:pt>
                <c:pt idx="2">
                  <c:v>43</c:v>
                </c:pt>
                <c:pt idx="3">
                  <c:v>41</c:v>
                </c:pt>
                <c:pt idx="4">
                  <c:v>40</c:v>
                </c:pt>
                <c:pt idx="5">
                  <c:v>36</c:v>
                </c:pt>
              </c:numCache>
            </c:numRef>
          </c:val>
          <c:extLst>
            <c:ext xmlns:c16="http://schemas.microsoft.com/office/drawing/2014/chart" uri="{C3380CC4-5D6E-409C-BE32-E72D297353CC}">
              <c16:uniqueId val="{00000000-600F-492E-878A-BE0B0B44A6F1}"/>
            </c:ext>
          </c:extLst>
        </c:ser>
        <c:dLbls>
          <c:showLegendKey val="0"/>
          <c:showVal val="0"/>
          <c:showCatName val="0"/>
          <c:showSerName val="0"/>
          <c:showPercent val="0"/>
          <c:showBubbleSize val="0"/>
        </c:dLbls>
        <c:gapWidth val="219"/>
        <c:overlap val="-27"/>
        <c:axId val="1834607663"/>
        <c:axId val="1834608623"/>
      </c:barChart>
      <c:catAx>
        <c:axId val="183460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08623"/>
        <c:crosses val="autoZero"/>
        <c:auto val="1"/>
        <c:lblAlgn val="ctr"/>
        <c:lblOffset val="100"/>
        <c:noMultiLvlLbl val="0"/>
      </c:catAx>
      <c:valAx>
        <c:axId val="183460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0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[Corporate_Actions_KPI_Dashboard.xlsx]Pivot!PivotTable2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Events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barChart>
        <c:barDir val="col"/>
        <c:grouping val="clustered"/>
        <c:varyColors val="0"/>
        <c:ser>
          <c:idx val="0"/>
          <c:order val="0"/>
          <c:tx>
            <c:strRef>
              <c:f>Pivot!$B$49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75A2-43FB-99D4-FB0AB2732465}"/>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75A2-43FB-99D4-FB0AB27324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Pivot!$A$50:$A$52</c:f>
              <c:strCache>
                <c:ptCount val="2"/>
                <c:pt idx="0">
                  <c:v>Canada</c:v>
                </c:pt>
                <c:pt idx="1">
                  <c:v>USA</c:v>
                </c:pt>
              </c:strCache>
            </c:strRef>
          </c:cat>
          <c:val>
            <c:numRef>
              <c:f>Pivot!$B$50:$B$52</c:f>
              <c:numCache>
                <c:formatCode>General</c:formatCode>
                <c:ptCount val="2"/>
                <c:pt idx="0">
                  <c:v>131</c:v>
                </c:pt>
                <c:pt idx="1">
                  <c:v>119</c:v>
                </c:pt>
              </c:numCache>
            </c:numRef>
          </c:val>
          <c:extLst>
            <c:ext xmlns:c16="http://schemas.microsoft.com/office/drawing/2014/chart" uri="{C3380CC4-5D6E-409C-BE32-E72D297353CC}">
              <c16:uniqueId val="{00000004-75A2-43FB-99D4-FB0AB2732465}"/>
            </c:ext>
          </c:extLst>
        </c:ser>
        <c:dLbls>
          <c:showLegendKey val="0"/>
          <c:showVal val="0"/>
          <c:showCatName val="0"/>
          <c:showSerName val="0"/>
          <c:showPercent val="0"/>
          <c:showBubbleSize val="0"/>
        </c:dLbls>
        <c:gapWidth val="100"/>
        <c:axId val="2061355743"/>
        <c:axId val="2061354303"/>
      </c:barChart>
      <c:catAx>
        <c:axId val="2061355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354303"/>
        <c:crosses val="autoZero"/>
        <c:auto val="1"/>
        <c:lblAlgn val="ctr"/>
        <c:lblOffset val="100"/>
        <c:noMultiLvlLbl val="0"/>
      </c:catAx>
      <c:valAx>
        <c:axId val="206135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35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[Corporate_Actions_KPI_Dashboard.xlsx]Pivot!PivotTable9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 Cap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barChart>
        <c:barDir val="col"/>
        <c:grouping val="clustered"/>
        <c:varyColors val="0"/>
        <c:ser>
          <c:idx val="0"/>
          <c:order val="0"/>
          <c:tx>
            <c:strRef>
              <c:f>Pivot!$B$63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DA68-4170-8677-18A4369DDB8D}"/>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DA68-4170-8677-18A4369DDB8D}"/>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DA68-4170-8677-18A4369DDB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Pivot!$A$64:$A$67</c:f>
              <c:strCache>
                <c:ptCount val="3"/>
                <c:pt idx="0">
                  <c:v>Large Cap</c:v>
                </c:pt>
                <c:pt idx="1">
                  <c:v>Mid Cap</c:v>
                </c:pt>
                <c:pt idx="2">
                  <c:v>Small Cap</c:v>
                </c:pt>
              </c:strCache>
            </c:strRef>
          </c:cat>
          <c:val>
            <c:numRef>
              <c:f>Pivot!$B$64:$B$67</c:f>
              <c:numCache>
                <c:formatCode>General</c:formatCode>
                <c:ptCount val="3"/>
                <c:pt idx="0">
                  <c:v>96</c:v>
                </c:pt>
                <c:pt idx="1">
                  <c:v>81</c:v>
                </c:pt>
                <c:pt idx="2">
                  <c:v>73</c:v>
                </c:pt>
              </c:numCache>
            </c:numRef>
          </c:val>
          <c:extLst>
            <c:ext xmlns:c16="http://schemas.microsoft.com/office/drawing/2014/chart" uri="{C3380CC4-5D6E-409C-BE32-E72D297353CC}">
              <c16:uniqueId val="{00000006-DA68-4170-8677-18A4369DDB8D}"/>
            </c:ext>
          </c:extLst>
        </c:ser>
        <c:dLbls>
          <c:showLegendKey val="0"/>
          <c:showVal val="0"/>
          <c:showCatName val="0"/>
          <c:showSerName val="0"/>
          <c:showPercent val="0"/>
          <c:showBubbleSize val="0"/>
        </c:dLbls>
        <c:gapWidth val="100"/>
        <c:axId val="597582032"/>
        <c:axId val="597582512"/>
      </c:barChart>
      <c:catAx>
        <c:axId val="597582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82512"/>
        <c:crosses val="autoZero"/>
        <c:auto val="1"/>
        <c:lblAlgn val="ctr"/>
        <c:lblOffset val="100"/>
        <c:noMultiLvlLbl val="0"/>
      </c:catAx>
      <c:valAx>
        <c:axId val="59758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8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139700</xdr:colOff>
      <xdr:row>4</xdr:row>
      <xdr:rowOff>0</xdr:rowOff>
    </xdr:to>
    <xdr:sp macro="" textlink="">
      <xdr:nvSpPr>
        <xdr:cNvPr id="2" name="Rectangle 1">
          <a:extLst>
            <a:ext uri="{FF2B5EF4-FFF2-40B4-BE49-F238E27FC236}">
              <a16:creationId xmlns:a16="http://schemas.microsoft.com/office/drawing/2014/main" id="{ACE2F48E-16FD-3942-5577-696AF31988CC}"/>
            </a:ext>
          </a:extLst>
        </xdr:cNvPr>
        <xdr:cNvSpPr/>
      </xdr:nvSpPr>
      <xdr:spPr>
        <a:xfrm>
          <a:off x="0" y="0"/>
          <a:ext cx="2901950" cy="736600"/>
        </a:xfrm>
        <a:prstGeom prst="rect">
          <a:avLst/>
        </a:prstGeom>
        <a:solidFill>
          <a:schemeClr val="accent5">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a:t>Total Corporate Actions</a:t>
          </a:r>
          <a:endParaRPr lang="en-IN" sz="1200" b="1" i="0" u="none" strike="noStrike">
            <a:solidFill>
              <a:schemeClr val="dk1"/>
            </a:solidFill>
            <a:effectLst/>
            <a:latin typeface="+mn-lt"/>
            <a:ea typeface="+mn-ea"/>
            <a:cs typeface="+mn-cs"/>
          </a:endParaRPr>
        </a:p>
        <a:p>
          <a:pPr algn="l"/>
          <a:endParaRPr lang="en-IN" sz="1200" b="1" i="0" u="none" strike="noStrike">
            <a:solidFill>
              <a:schemeClr val="dk1"/>
            </a:solidFill>
            <a:effectLst/>
            <a:latin typeface="+mn-lt"/>
            <a:ea typeface="+mn-ea"/>
            <a:cs typeface="+mn-cs"/>
          </a:endParaRPr>
        </a:p>
        <a:p>
          <a:pPr algn="ctr"/>
          <a:r>
            <a:rPr lang="en-IN" sz="1600" b="0" i="0" u="none" strike="noStrike">
              <a:solidFill>
                <a:schemeClr val="dk1"/>
              </a:solidFill>
              <a:effectLst/>
              <a:latin typeface="+mn-lt"/>
              <a:ea typeface="+mn-ea"/>
              <a:cs typeface="+mn-cs"/>
            </a:rPr>
            <a:t>250</a:t>
          </a:r>
          <a:r>
            <a:rPr lang="en-IN" sz="1400">
              <a:effectLst/>
            </a:rPr>
            <a:t>  </a:t>
          </a:r>
          <a:endParaRPr lang="en-IN" sz="1400"/>
        </a:p>
      </xdr:txBody>
    </xdr:sp>
    <xdr:clientData/>
  </xdr:twoCellAnchor>
  <xdr:twoCellAnchor>
    <xdr:from>
      <xdr:col>3</xdr:col>
      <xdr:colOff>107950</xdr:colOff>
      <xdr:row>0</xdr:row>
      <xdr:rowOff>0</xdr:rowOff>
    </xdr:from>
    <xdr:to>
      <xdr:col>7</xdr:col>
      <xdr:colOff>546100</xdr:colOff>
      <xdr:row>4</xdr:row>
      <xdr:rowOff>0</xdr:rowOff>
    </xdr:to>
    <xdr:sp macro="" textlink="">
      <xdr:nvSpPr>
        <xdr:cNvPr id="10" name="Rectangle 9">
          <a:extLst>
            <a:ext uri="{FF2B5EF4-FFF2-40B4-BE49-F238E27FC236}">
              <a16:creationId xmlns:a16="http://schemas.microsoft.com/office/drawing/2014/main" id="{62E63792-BD28-434D-ADDF-76617DFA50AF}"/>
            </a:ext>
          </a:extLst>
        </xdr:cNvPr>
        <xdr:cNvSpPr/>
      </xdr:nvSpPr>
      <xdr:spPr>
        <a:xfrm>
          <a:off x="2870200" y="0"/>
          <a:ext cx="2876550" cy="736600"/>
        </a:xfrm>
        <a:prstGeom prst="rect">
          <a:avLst/>
        </a:prstGeom>
        <a:solidFill>
          <a:srgbClr val="4BACC6">
            <a:lumMod val="20000"/>
            <a:lumOff val="80000"/>
          </a:srgbClr>
        </a:solidFill>
        <a:ln w="3175" cap="flat" cmpd="sng" algn="ct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sysClr val="windowText" lastClr="000000"/>
              </a:solidFill>
              <a:effectLst/>
              <a:uLnTx/>
              <a:uFillTx/>
              <a:latin typeface="Calibri"/>
              <a:ea typeface="+mn-ea"/>
              <a:cs typeface="+mn-cs"/>
            </a:rPr>
            <a:t>Unique Companies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200" b="1"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ea typeface="+mn-ea"/>
              <a:cs typeface="+mn-cs"/>
            </a:rPr>
            <a:t>15</a:t>
          </a:r>
        </a:p>
      </xdr:txBody>
    </xdr:sp>
    <xdr:clientData/>
  </xdr:twoCellAnchor>
  <xdr:twoCellAnchor>
    <xdr:from>
      <xdr:col>7</xdr:col>
      <xdr:colOff>546100</xdr:colOff>
      <xdr:row>0</xdr:row>
      <xdr:rowOff>6350</xdr:rowOff>
    </xdr:from>
    <xdr:to>
      <xdr:col>11</xdr:col>
      <xdr:colOff>69850</xdr:colOff>
      <xdr:row>4</xdr:row>
      <xdr:rowOff>6350</xdr:rowOff>
    </xdr:to>
    <xdr:sp macro="" textlink="">
      <xdr:nvSpPr>
        <xdr:cNvPr id="11" name="Rectangle 10">
          <a:extLst>
            <a:ext uri="{FF2B5EF4-FFF2-40B4-BE49-F238E27FC236}">
              <a16:creationId xmlns:a16="http://schemas.microsoft.com/office/drawing/2014/main" id="{5C822234-9F01-4C3E-A29C-F932F3854790}"/>
            </a:ext>
          </a:extLst>
        </xdr:cNvPr>
        <xdr:cNvSpPr/>
      </xdr:nvSpPr>
      <xdr:spPr>
        <a:xfrm>
          <a:off x="5746750" y="6350"/>
          <a:ext cx="2895600" cy="736600"/>
        </a:xfrm>
        <a:prstGeom prst="rect">
          <a:avLst/>
        </a:prstGeom>
        <a:solidFill>
          <a:schemeClr val="accent5">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i="0" u="none" strike="noStrike">
              <a:solidFill>
                <a:schemeClr val="dk1"/>
              </a:solidFill>
              <a:effectLst/>
              <a:latin typeface="+mn-lt"/>
              <a:ea typeface="+mn-ea"/>
              <a:cs typeface="+mn-cs"/>
            </a:rPr>
            <a:t>Events by Country</a:t>
          </a:r>
        </a:p>
        <a:p>
          <a:pPr algn="l"/>
          <a:endParaRPr lang="en-IN" sz="1200" b="1" i="0" u="none" strike="noStrike">
            <a:solidFill>
              <a:schemeClr val="dk1"/>
            </a:solidFill>
            <a:effectLst/>
            <a:latin typeface="+mn-lt"/>
            <a:ea typeface="+mn-ea"/>
            <a:cs typeface="+mn-cs"/>
          </a:endParaRPr>
        </a:p>
        <a:p>
          <a:pPr algn="ctr"/>
          <a:r>
            <a:rPr lang="en-IN" sz="1600" b="0" i="0" u="none" strike="noStrike">
              <a:solidFill>
                <a:schemeClr val="dk1"/>
              </a:solidFill>
              <a:effectLst/>
              <a:latin typeface="+mn-lt"/>
              <a:ea typeface="+mn-ea"/>
              <a:cs typeface="+mn-cs"/>
            </a:rPr>
            <a:t>Canada:</a:t>
          </a:r>
          <a:r>
            <a:rPr lang="en-IN" sz="1600" b="0" i="0" u="none" strike="noStrike" baseline="0">
              <a:solidFill>
                <a:schemeClr val="dk1"/>
              </a:solidFill>
              <a:effectLst/>
              <a:latin typeface="+mn-lt"/>
              <a:ea typeface="+mn-ea"/>
              <a:cs typeface="+mn-cs"/>
            </a:rPr>
            <a:t> 131 USA: 73</a:t>
          </a:r>
          <a:endParaRPr lang="en-IN" sz="1600"/>
        </a:p>
      </xdr:txBody>
    </xdr:sp>
    <xdr:clientData/>
  </xdr:twoCellAnchor>
  <xdr:twoCellAnchor>
    <xdr:from>
      <xdr:col>0</xdr:col>
      <xdr:colOff>0</xdr:colOff>
      <xdr:row>4</xdr:row>
      <xdr:rowOff>6350</xdr:rowOff>
    </xdr:from>
    <xdr:to>
      <xdr:col>3</xdr:col>
      <xdr:colOff>101600</xdr:colOff>
      <xdr:row>8</xdr:row>
      <xdr:rowOff>6350</xdr:rowOff>
    </xdr:to>
    <xdr:sp macro="" textlink="">
      <xdr:nvSpPr>
        <xdr:cNvPr id="13" name="Rectangle 12">
          <a:extLst>
            <a:ext uri="{FF2B5EF4-FFF2-40B4-BE49-F238E27FC236}">
              <a16:creationId xmlns:a16="http://schemas.microsoft.com/office/drawing/2014/main" id="{1CB0231A-0321-4E55-8494-290CFBD5EA67}"/>
            </a:ext>
          </a:extLst>
        </xdr:cNvPr>
        <xdr:cNvSpPr/>
      </xdr:nvSpPr>
      <xdr:spPr>
        <a:xfrm>
          <a:off x="0" y="742950"/>
          <a:ext cx="2863850" cy="736600"/>
        </a:xfrm>
        <a:prstGeom prst="rect">
          <a:avLst/>
        </a:prstGeom>
        <a:solidFill>
          <a:schemeClr val="accent5">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i="0" u="none" strike="noStrike">
              <a:solidFill>
                <a:schemeClr val="dk1"/>
              </a:solidFill>
              <a:effectLst/>
              <a:latin typeface="+mn-lt"/>
              <a:ea typeface="+mn-ea"/>
              <a:cs typeface="+mn-cs"/>
            </a:rPr>
            <a:t>Frequent</a:t>
          </a:r>
          <a:r>
            <a:rPr lang="en-IN" sz="1200" b="1" i="0" u="none" strike="noStrike" baseline="0">
              <a:solidFill>
                <a:schemeClr val="dk1"/>
              </a:solidFill>
              <a:effectLst/>
              <a:latin typeface="+mn-lt"/>
              <a:ea typeface="+mn-ea"/>
              <a:cs typeface="+mn-cs"/>
            </a:rPr>
            <a:t> Event Type</a:t>
          </a:r>
        </a:p>
        <a:p>
          <a:pPr algn="l"/>
          <a:endParaRPr lang="en-IN" sz="1200" b="1" i="0" u="none" strike="noStrike">
            <a:solidFill>
              <a:schemeClr val="dk1"/>
            </a:solidFill>
            <a:effectLst/>
            <a:latin typeface="+mn-lt"/>
            <a:ea typeface="+mn-ea"/>
            <a:cs typeface="+mn-cs"/>
          </a:endParaRPr>
        </a:p>
        <a:p>
          <a:pPr algn="ctr"/>
          <a:r>
            <a:rPr lang="en-IN" sz="1600" b="0" i="0" u="none" strike="noStrike">
              <a:solidFill>
                <a:schemeClr val="dk1"/>
              </a:solidFill>
              <a:effectLst/>
              <a:latin typeface="+mn-lt"/>
              <a:ea typeface="+mn-ea"/>
              <a:cs typeface="+mn-cs"/>
            </a:rPr>
            <a:t>Tender Offer &amp; Rights Issue</a:t>
          </a:r>
          <a:endParaRPr lang="en-IN" sz="1600"/>
        </a:p>
      </xdr:txBody>
    </xdr:sp>
    <xdr:clientData/>
  </xdr:twoCellAnchor>
  <xdr:twoCellAnchor>
    <xdr:from>
      <xdr:col>3</xdr:col>
      <xdr:colOff>95250</xdr:colOff>
      <xdr:row>4</xdr:row>
      <xdr:rowOff>0</xdr:rowOff>
    </xdr:from>
    <xdr:to>
      <xdr:col>7</xdr:col>
      <xdr:colOff>533400</xdr:colOff>
      <xdr:row>8</xdr:row>
      <xdr:rowOff>0</xdr:rowOff>
    </xdr:to>
    <xdr:sp macro="" textlink="">
      <xdr:nvSpPr>
        <xdr:cNvPr id="14" name="Rectangle 13">
          <a:extLst>
            <a:ext uri="{FF2B5EF4-FFF2-40B4-BE49-F238E27FC236}">
              <a16:creationId xmlns:a16="http://schemas.microsoft.com/office/drawing/2014/main" id="{0B1818EB-37B8-411F-AC8A-D5BF93E4A615}"/>
            </a:ext>
          </a:extLst>
        </xdr:cNvPr>
        <xdr:cNvSpPr/>
      </xdr:nvSpPr>
      <xdr:spPr>
        <a:xfrm>
          <a:off x="2857500" y="736600"/>
          <a:ext cx="2876550" cy="736600"/>
        </a:xfrm>
        <a:prstGeom prst="rect">
          <a:avLst/>
        </a:prstGeom>
        <a:solidFill>
          <a:schemeClr val="accent5">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i="0" u="none" strike="noStrike">
              <a:solidFill>
                <a:schemeClr val="dk1"/>
              </a:solidFill>
              <a:effectLst/>
              <a:latin typeface="+mn-lt"/>
              <a:ea typeface="+mn-ea"/>
              <a:cs typeface="+mn-cs"/>
            </a:rPr>
            <a:t>Market</a:t>
          </a:r>
          <a:r>
            <a:rPr lang="en-IN" sz="1200" b="1" i="0" u="none" strike="noStrike" baseline="0">
              <a:solidFill>
                <a:schemeClr val="dk1"/>
              </a:solidFill>
              <a:effectLst/>
              <a:latin typeface="+mn-lt"/>
              <a:ea typeface="+mn-ea"/>
              <a:cs typeface="+mn-cs"/>
            </a:rPr>
            <a:t> Cap Distribution</a:t>
          </a:r>
          <a:endParaRPr lang="en-IN" sz="1200" b="1" i="0" u="none" strike="noStrike">
            <a:solidFill>
              <a:schemeClr val="dk1"/>
            </a:solidFill>
            <a:effectLst/>
            <a:latin typeface="+mn-lt"/>
            <a:ea typeface="+mn-ea"/>
            <a:cs typeface="+mn-cs"/>
          </a:endParaRPr>
        </a:p>
        <a:p>
          <a:pPr algn="l"/>
          <a:endParaRPr lang="en-IN" sz="1200" b="1" i="0" u="none" strike="noStrike">
            <a:solidFill>
              <a:schemeClr val="dk1"/>
            </a:solidFill>
            <a:effectLst/>
            <a:latin typeface="+mn-lt"/>
            <a:ea typeface="+mn-ea"/>
            <a:cs typeface="+mn-cs"/>
          </a:endParaRPr>
        </a:p>
        <a:p>
          <a:pPr algn="ctr"/>
          <a:r>
            <a:rPr lang="en-IN" sz="1600">
              <a:effectLst/>
            </a:rPr>
            <a:t>Large: 96	 Mid: 81</a:t>
          </a:r>
          <a:r>
            <a:rPr lang="en-IN" sz="1600" baseline="0">
              <a:effectLst/>
            </a:rPr>
            <a:t>	</a:t>
          </a:r>
          <a:r>
            <a:rPr lang="en-IN" sz="1600">
              <a:effectLst/>
            </a:rPr>
            <a:t>Small: 73</a:t>
          </a:r>
          <a:r>
            <a:rPr lang="en-IN" sz="1400">
              <a:effectLst/>
            </a:rPr>
            <a:t>  </a:t>
          </a:r>
          <a:endParaRPr lang="en-IN" sz="1400"/>
        </a:p>
      </xdr:txBody>
    </xdr:sp>
    <xdr:clientData/>
  </xdr:twoCellAnchor>
  <xdr:twoCellAnchor>
    <xdr:from>
      <xdr:col>7</xdr:col>
      <xdr:colOff>539750</xdr:colOff>
      <xdr:row>4</xdr:row>
      <xdr:rowOff>12700</xdr:rowOff>
    </xdr:from>
    <xdr:to>
      <xdr:col>11</xdr:col>
      <xdr:colOff>57150</xdr:colOff>
      <xdr:row>8</xdr:row>
      <xdr:rowOff>12700</xdr:rowOff>
    </xdr:to>
    <xdr:sp macro="" textlink="">
      <xdr:nvSpPr>
        <xdr:cNvPr id="16" name="Rectangle 15">
          <a:extLst>
            <a:ext uri="{FF2B5EF4-FFF2-40B4-BE49-F238E27FC236}">
              <a16:creationId xmlns:a16="http://schemas.microsoft.com/office/drawing/2014/main" id="{BEFFA36E-9672-4888-8E4A-F1063928405D}"/>
            </a:ext>
          </a:extLst>
        </xdr:cNvPr>
        <xdr:cNvSpPr/>
      </xdr:nvSpPr>
      <xdr:spPr>
        <a:xfrm>
          <a:off x="5327650" y="749300"/>
          <a:ext cx="2889250" cy="736600"/>
        </a:xfrm>
        <a:prstGeom prst="rect">
          <a:avLst/>
        </a:prstGeom>
        <a:solidFill>
          <a:schemeClr val="accent5">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i="0">
              <a:solidFill>
                <a:schemeClr val="dk1"/>
              </a:solidFill>
              <a:effectLst/>
              <a:latin typeface="+mn-lt"/>
              <a:ea typeface="+mn-ea"/>
              <a:cs typeface="+mn-cs"/>
            </a:rPr>
            <a:t>Leading</a:t>
          </a:r>
          <a:r>
            <a:rPr lang="en-IN" sz="1200" b="1" i="0" baseline="0">
              <a:solidFill>
                <a:schemeClr val="dk1"/>
              </a:solidFill>
              <a:effectLst/>
              <a:latin typeface="+mn-lt"/>
              <a:ea typeface="+mn-ea"/>
              <a:cs typeface="+mn-cs"/>
            </a:rPr>
            <a:t> Sector by Events</a:t>
          </a:r>
          <a:endParaRPr lang="en-IN" sz="1200">
            <a:effectLst/>
          </a:endParaRPr>
        </a:p>
        <a:p>
          <a:pPr algn="l"/>
          <a:endParaRPr lang="en-IN" sz="1200" b="1" i="0" u="none" strike="noStrike">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0" i="0">
              <a:solidFill>
                <a:schemeClr val="dk1"/>
              </a:solidFill>
              <a:effectLst/>
              <a:latin typeface="+mn-lt"/>
              <a:ea typeface="+mn-ea"/>
              <a:cs typeface="+mn-cs"/>
            </a:rPr>
            <a:t>Consumer Goods</a:t>
          </a:r>
          <a:endParaRPr lang="en-IN" sz="1600">
            <a:effectLst/>
          </a:endParaRPr>
        </a:p>
        <a:p>
          <a:pPr algn="ctr"/>
          <a:endParaRPr lang="en-IN"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324556</xdr:colOff>
      <xdr:row>2</xdr:row>
      <xdr:rowOff>8466</xdr:rowOff>
    </xdr:from>
    <xdr:to>
      <xdr:col>10</xdr:col>
      <xdr:colOff>22578</xdr:colOff>
      <xdr:row>16</xdr:row>
      <xdr:rowOff>172861</xdr:rowOff>
    </xdr:to>
    <xdr:graphicFrame macro="">
      <xdr:nvGraphicFramePr>
        <xdr:cNvPr id="4" name="Chart 3">
          <a:extLst>
            <a:ext uri="{FF2B5EF4-FFF2-40B4-BE49-F238E27FC236}">
              <a16:creationId xmlns:a16="http://schemas.microsoft.com/office/drawing/2014/main" id="{ECD12B0D-4ED5-D75F-CEAF-2BEA5BA1E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298450</xdr:colOff>
      <xdr:row>17</xdr:row>
      <xdr:rowOff>63500</xdr:rowOff>
    </xdr:from>
    <xdr:to>
      <xdr:col>9</xdr:col>
      <xdr:colOff>603250</xdr:colOff>
      <xdr:row>32</xdr:row>
      <xdr:rowOff>44450</xdr:rowOff>
    </xdr:to>
    <xdr:graphicFrame macro="">
      <xdr:nvGraphicFramePr>
        <xdr:cNvPr id="5" name="Chart 4">
          <a:extLst>
            <a:ext uri="{FF2B5EF4-FFF2-40B4-BE49-F238E27FC236}">
              <a16:creationId xmlns:a16="http://schemas.microsoft.com/office/drawing/2014/main" id="{4DD09918-6AD2-710E-5704-436F018B3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215900</xdr:colOff>
      <xdr:row>32</xdr:row>
      <xdr:rowOff>139700</xdr:rowOff>
    </xdr:from>
    <xdr:to>
      <xdr:col>9</xdr:col>
      <xdr:colOff>520700</xdr:colOff>
      <xdr:row>47</xdr:row>
      <xdr:rowOff>120650</xdr:rowOff>
    </xdr:to>
    <xdr:graphicFrame macro="">
      <xdr:nvGraphicFramePr>
        <xdr:cNvPr id="6" name="Chart 5">
          <a:extLst>
            <a:ext uri="{FF2B5EF4-FFF2-40B4-BE49-F238E27FC236}">
              <a16:creationId xmlns:a16="http://schemas.microsoft.com/office/drawing/2014/main" id="{A379A032-829B-0B08-F9BC-80A46B257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244475</xdr:colOff>
      <xdr:row>48</xdr:row>
      <xdr:rowOff>101600</xdr:rowOff>
    </xdr:from>
    <xdr:to>
      <xdr:col>9</xdr:col>
      <xdr:colOff>349250</xdr:colOff>
      <xdr:row>62</xdr:row>
      <xdr:rowOff>25400</xdr:rowOff>
    </xdr:to>
    <xdr:graphicFrame macro="">
      <xdr:nvGraphicFramePr>
        <xdr:cNvPr id="7" name="Chart 6">
          <a:extLst>
            <a:ext uri="{FF2B5EF4-FFF2-40B4-BE49-F238E27FC236}">
              <a16:creationId xmlns:a16="http://schemas.microsoft.com/office/drawing/2014/main" id="{08A620D6-8BC7-E830-8DE7-0FECBB244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203200</xdr:colOff>
      <xdr:row>62</xdr:row>
      <xdr:rowOff>146050</xdr:rowOff>
    </xdr:from>
    <xdr:to>
      <xdr:col>9</xdr:col>
      <xdr:colOff>419100</xdr:colOff>
      <xdr:row>76</xdr:row>
      <xdr:rowOff>88900</xdr:rowOff>
    </xdr:to>
    <xdr:graphicFrame macro="">
      <xdr:nvGraphicFramePr>
        <xdr:cNvPr id="8" name="Chart 7">
          <a:extLst>
            <a:ext uri="{FF2B5EF4-FFF2-40B4-BE49-F238E27FC236}">
              <a16:creationId xmlns:a16="http://schemas.microsoft.com/office/drawing/2014/main" id="{D62A55DF-6DC7-5ACC-1E00-6E6ADBA4D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148829</xdr:colOff>
      <xdr:row>6</xdr:row>
      <xdr:rowOff>36116</xdr:rowOff>
    </xdr:from>
    <xdr:to>
      <xdr:col>8</xdr:col>
      <xdr:colOff>49609</xdr:colOff>
      <xdr:row>10</xdr:row>
      <xdr:rowOff>18654</xdr:rowOff>
    </xdr:to>
    <xdr:sp macro="" textlink="">
      <xdr:nvSpPr>
        <xdr:cNvPr id="9" name="Rectangle 8">
          <a:extLst>
            <a:ext uri="{FF2B5EF4-FFF2-40B4-BE49-F238E27FC236}">
              <a16:creationId xmlns:a16="http://schemas.microsoft.com/office/drawing/2014/main" id="{3C0F07F2-D3B1-477A-99D8-10011D4316FF}"/>
            </a:ext>
          </a:extLst>
        </xdr:cNvPr>
        <xdr:cNvSpPr/>
      </xdr:nvSpPr>
      <xdr:spPr>
        <a:xfrm>
          <a:off x="1964532" y="1167210"/>
          <a:ext cx="2926952" cy="736600"/>
        </a:xfrm>
        <a:prstGeom prst="rect">
          <a:avLst/>
        </a:prstGeom>
        <a:solidFill>
          <a:schemeClr val="accent1">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a:t>Total Corporate Actions</a:t>
          </a:r>
          <a:endParaRPr lang="en-IN" sz="1200" b="1" i="0" u="none" strike="noStrike">
            <a:solidFill>
              <a:schemeClr val="dk1"/>
            </a:solidFill>
            <a:effectLst/>
            <a:latin typeface="+mn-lt"/>
            <a:ea typeface="+mn-ea"/>
            <a:cs typeface="+mn-cs"/>
          </a:endParaRPr>
        </a:p>
        <a:p>
          <a:pPr algn="ctr"/>
          <a:r>
            <a:rPr lang="en-IN" sz="1600" b="0" i="0" u="none" strike="noStrike">
              <a:solidFill>
                <a:schemeClr val="dk1"/>
              </a:solidFill>
              <a:effectLst/>
              <a:latin typeface="+mn-lt"/>
              <a:ea typeface="+mn-ea"/>
              <a:cs typeface="+mn-cs"/>
            </a:rPr>
            <a:t>250</a:t>
          </a:r>
          <a:r>
            <a:rPr lang="en-IN" sz="1400">
              <a:effectLst/>
            </a:rPr>
            <a:t>  </a:t>
          </a:r>
          <a:endParaRPr lang="en-IN" sz="1400"/>
        </a:p>
      </xdr:txBody>
    </xdr:sp>
    <xdr:clientData/>
  </xdr:twoCellAnchor>
  <xdr:twoCellAnchor>
    <xdr:from>
      <xdr:col>8</xdr:col>
      <xdr:colOff>115689</xdr:colOff>
      <xdr:row>6</xdr:row>
      <xdr:rowOff>36116</xdr:rowOff>
    </xdr:from>
    <xdr:to>
      <xdr:col>13</xdr:col>
      <xdr:colOff>2976</xdr:colOff>
      <xdr:row>10</xdr:row>
      <xdr:rowOff>12304</xdr:rowOff>
    </xdr:to>
    <xdr:sp macro="" textlink="">
      <xdr:nvSpPr>
        <xdr:cNvPr id="10" name="Rectangle 9">
          <a:extLst>
            <a:ext uri="{FF2B5EF4-FFF2-40B4-BE49-F238E27FC236}">
              <a16:creationId xmlns:a16="http://schemas.microsoft.com/office/drawing/2014/main" id="{C8BCD934-C813-4C17-85CF-CA1FC25C2534}"/>
            </a:ext>
          </a:extLst>
        </xdr:cNvPr>
        <xdr:cNvSpPr/>
      </xdr:nvSpPr>
      <xdr:spPr>
        <a:xfrm>
          <a:off x="4957564" y="1167210"/>
          <a:ext cx="2913459" cy="730250"/>
        </a:xfrm>
        <a:prstGeom prst="rect">
          <a:avLst/>
        </a:prstGeom>
        <a:solidFill>
          <a:schemeClr val="accent1">
            <a:lumMod val="20000"/>
            <a:lumOff val="80000"/>
          </a:schemeClr>
        </a:solidFill>
        <a:ln w="3175" cap="flat" cmpd="sng" algn="ct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sysClr val="windowText" lastClr="000000"/>
              </a:solidFill>
              <a:effectLst/>
              <a:uLnTx/>
              <a:uFillTx/>
              <a:latin typeface="Calibri"/>
              <a:ea typeface="+mn-ea"/>
              <a:cs typeface="+mn-cs"/>
            </a:rPr>
            <a:t>Unique Companies</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ea typeface="+mn-ea"/>
              <a:cs typeface="+mn-cs"/>
            </a:rPr>
            <a:t>15</a:t>
          </a:r>
        </a:p>
      </xdr:txBody>
    </xdr:sp>
    <xdr:clientData/>
  </xdr:twoCellAnchor>
  <xdr:twoCellAnchor>
    <xdr:from>
      <xdr:col>8</xdr:col>
      <xdr:colOff>124618</xdr:colOff>
      <xdr:row>10</xdr:row>
      <xdr:rowOff>101599</xdr:rowOff>
    </xdr:from>
    <xdr:to>
      <xdr:col>12</xdr:col>
      <xdr:colOff>599280</xdr:colOff>
      <xdr:row>14</xdr:row>
      <xdr:rowOff>84136</xdr:rowOff>
    </xdr:to>
    <xdr:sp macro="" textlink="">
      <xdr:nvSpPr>
        <xdr:cNvPr id="11" name="Rectangle 10">
          <a:extLst>
            <a:ext uri="{FF2B5EF4-FFF2-40B4-BE49-F238E27FC236}">
              <a16:creationId xmlns:a16="http://schemas.microsoft.com/office/drawing/2014/main" id="{C84BE39E-1183-4EEB-B7D1-56FE6E079641}"/>
            </a:ext>
          </a:extLst>
        </xdr:cNvPr>
        <xdr:cNvSpPr/>
      </xdr:nvSpPr>
      <xdr:spPr>
        <a:xfrm>
          <a:off x="4966493" y="1986755"/>
          <a:ext cx="2895600" cy="736600"/>
        </a:xfrm>
        <a:prstGeom prst="rect">
          <a:avLst/>
        </a:prstGeom>
        <a:solidFill>
          <a:schemeClr val="accent1">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i="0" u="none" strike="noStrike">
              <a:solidFill>
                <a:schemeClr val="dk1"/>
              </a:solidFill>
              <a:effectLst/>
              <a:latin typeface="+mn-lt"/>
              <a:ea typeface="+mn-ea"/>
              <a:cs typeface="+mn-cs"/>
            </a:rPr>
            <a:t>Top Country</a:t>
          </a:r>
        </a:p>
        <a:p>
          <a:pPr algn="ctr"/>
          <a:r>
            <a:rPr lang="en-IN" sz="1600" b="0" i="0" u="none" strike="noStrike">
              <a:solidFill>
                <a:schemeClr val="dk1"/>
              </a:solidFill>
              <a:effectLst/>
              <a:latin typeface="+mn-lt"/>
              <a:ea typeface="+mn-ea"/>
              <a:cs typeface="+mn-cs"/>
            </a:rPr>
            <a:t>Canada</a:t>
          </a:r>
          <a:r>
            <a:rPr lang="en-IN" sz="1600" b="0" i="0" u="none" strike="noStrike" baseline="0">
              <a:solidFill>
                <a:schemeClr val="dk1"/>
              </a:solidFill>
              <a:effectLst/>
              <a:latin typeface="+mn-lt"/>
              <a:ea typeface="+mn-ea"/>
              <a:cs typeface="+mn-cs"/>
            </a:rPr>
            <a:t> (131)</a:t>
          </a:r>
          <a:endParaRPr lang="en-IN" sz="1600"/>
        </a:p>
      </xdr:txBody>
    </xdr:sp>
    <xdr:clientData/>
  </xdr:twoCellAnchor>
  <xdr:twoCellAnchor>
    <xdr:from>
      <xdr:col>3</xdr:col>
      <xdr:colOff>148829</xdr:colOff>
      <xdr:row>10</xdr:row>
      <xdr:rowOff>101599</xdr:rowOff>
    </xdr:from>
    <xdr:to>
      <xdr:col>8</xdr:col>
      <xdr:colOff>39690</xdr:colOff>
      <xdr:row>14</xdr:row>
      <xdr:rowOff>84136</xdr:rowOff>
    </xdr:to>
    <xdr:sp macro="" textlink="">
      <xdr:nvSpPr>
        <xdr:cNvPr id="12" name="Rectangle 11">
          <a:extLst>
            <a:ext uri="{FF2B5EF4-FFF2-40B4-BE49-F238E27FC236}">
              <a16:creationId xmlns:a16="http://schemas.microsoft.com/office/drawing/2014/main" id="{3878190F-B2E0-4B00-A2DB-E18AE0DCDA8A}"/>
            </a:ext>
          </a:extLst>
        </xdr:cNvPr>
        <xdr:cNvSpPr/>
      </xdr:nvSpPr>
      <xdr:spPr>
        <a:xfrm>
          <a:off x="1964532" y="1986755"/>
          <a:ext cx="2917033" cy="736600"/>
        </a:xfrm>
        <a:prstGeom prst="rect">
          <a:avLst/>
        </a:prstGeom>
        <a:solidFill>
          <a:schemeClr val="accent1">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i="0" u="none" strike="noStrike" baseline="0">
              <a:solidFill>
                <a:schemeClr val="dk1"/>
              </a:solidFill>
              <a:effectLst/>
              <a:latin typeface="+mn-lt"/>
              <a:ea typeface="+mn-ea"/>
              <a:cs typeface="+mn-cs"/>
            </a:rPr>
            <a:t>Top Event Type</a:t>
          </a:r>
          <a:endParaRPr lang="en-IN" sz="1200" b="1" i="0" u="none" strike="noStrike">
            <a:solidFill>
              <a:schemeClr val="dk1"/>
            </a:solidFill>
            <a:effectLst/>
            <a:latin typeface="+mn-lt"/>
            <a:ea typeface="+mn-ea"/>
            <a:cs typeface="+mn-cs"/>
          </a:endParaRPr>
        </a:p>
        <a:p>
          <a:pPr algn="ctr"/>
          <a:r>
            <a:rPr lang="en-IN" sz="1600" b="0" i="0" u="none" strike="noStrike">
              <a:solidFill>
                <a:schemeClr val="dk1"/>
              </a:solidFill>
              <a:effectLst/>
              <a:latin typeface="+mn-lt"/>
              <a:ea typeface="+mn-ea"/>
              <a:cs typeface="+mn-cs"/>
            </a:rPr>
            <a:t>Tender Offer &amp; Rights Issue</a:t>
          </a:r>
          <a:endParaRPr lang="en-IN" sz="1600"/>
        </a:p>
      </xdr:txBody>
    </xdr:sp>
    <xdr:clientData/>
  </xdr:twoCellAnchor>
  <xdr:twoCellAnchor>
    <xdr:from>
      <xdr:col>13</xdr:col>
      <xdr:colOff>78780</xdr:colOff>
      <xdr:row>10</xdr:row>
      <xdr:rowOff>101599</xdr:rowOff>
    </xdr:from>
    <xdr:to>
      <xdr:col>17</xdr:col>
      <xdr:colOff>554236</xdr:colOff>
      <xdr:row>14</xdr:row>
      <xdr:rowOff>84136</xdr:rowOff>
    </xdr:to>
    <xdr:sp macro="" textlink="">
      <xdr:nvSpPr>
        <xdr:cNvPr id="13" name="Rectangle 12">
          <a:extLst>
            <a:ext uri="{FF2B5EF4-FFF2-40B4-BE49-F238E27FC236}">
              <a16:creationId xmlns:a16="http://schemas.microsoft.com/office/drawing/2014/main" id="{B59D672D-B506-4BCB-8FB0-7CD5BB269DF1}"/>
            </a:ext>
          </a:extLst>
        </xdr:cNvPr>
        <xdr:cNvSpPr/>
      </xdr:nvSpPr>
      <xdr:spPr>
        <a:xfrm>
          <a:off x="7946827" y="1986755"/>
          <a:ext cx="2896393" cy="736600"/>
        </a:xfrm>
        <a:prstGeom prst="rect">
          <a:avLst/>
        </a:prstGeom>
        <a:solidFill>
          <a:schemeClr val="accent1">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i="0" u="none" strike="noStrike">
              <a:solidFill>
                <a:schemeClr val="dk1"/>
              </a:solidFill>
              <a:effectLst/>
              <a:latin typeface="+mn-lt"/>
              <a:ea typeface="+mn-ea"/>
              <a:cs typeface="+mn-cs"/>
            </a:rPr>
            <a:t>Market</a:t>
          </a:r>
          <a:r>
            <a:rPr lang="en-IN" sz="1200" b="1" i="0" u="none" strike="noStrike" baseline="0">
              <a:solidFill>
                <a:schemeClr val="dk1"/>
              </a:solidFill>
              <a:effectLst/>
              <a:latin typeface="+mn-lt"/>
              <a:ea typeface="+mn-ea"/>
              <a:cs typeface="+mn-cs"/>
            </a:rPr>
            <a:t> Cap Distribution</a:t>
          </a:r>
          <a:endParaRPr lang="en-IN" sz="1200" b="1" i="0" u="none" strike="noStrike">
            <a:solidFill>
              <a:schemeClr val="dk1"/>
            </a:solidFill>
            <a:effectLst/>
            <a:latin typeface="+mn-lt"/>
            <a:ea typeface="+mn-ea"/>
            <a:cs typeface="+mn-cs"/>
          </a:endParaRPr>
        </a:p>
        <a:p>
          <a:pPr algn="ctr"/>
          <a:r>
            <a:rPr lang="en-IN" sz="1600">
              <a:effectLst/>
            </a:rPr>
            <a:t>Large: 96	 Mid: 81</a:t>
          </a:r>
          <a:r>
            <a:rPr lang="en-IN" sz="1600" baseline="0">
              <a:effectLst/>
            </a:rPr>
            <a:t>	</a:t>
          </a:r>
          <a:r>
            <a:rPr lang="en-IN" sz="1600">
              <a:effectLst/>
            </a:rPr>
            <a:t>Small: 73</a:t>
          </a:r>
          <a:r>
            <a:rPr lang="en-IN" sz="1400">
              <a:effectLst/>
            </a:rPr>
            <a:t>  </a:t>
          </a:r>
          <a:endParaRPr lang="en-IN" sz="1400"/>
        </a:p>
      </xdr:txBody>
    </xdr:sp>
    <xdr:clientData/>
  </xdr:twoCellAnchor>
  <xdr:twoCellAnchor>
    <xdr:from>
      <xdr:col>13</xdr:col>
      <xdr:colOff>82351</xdr:colOff>
      <xdr:row>6</xdr:row>
      <xdr:rowOff>36116</xdr:rowOff>
    </xdr:from>
    <xdr:to>
      <xdr:col>17</xdr:col>
      <xdr:colOff>550664</xdr:colOff>
      <xdr:row>10</xdr:row>
      <xdr:rowOff>18654</xdr:rowOff>
    </xdr:to>
    <xdr:sp macro="" textlink="">
      <xdr:nvSpPr>
        <xdr:cNvPr id="14" name="Rectangle 13">
          <a:extLst>
            <a:ext uri="{FF2B5EF4-FFF2-40B4-BE49-F238E27FC236}">
              <a16:creationId xmlns:a16="http://schemas.microsoft.com/office/drawing/2014/main" id="{44FDBEF7-9AC7-442B-BC5C-B25989DB03DE}"/>
            </a:ext>
          </a:extLst>
        </xdr:cNvPr>
        <xdr:cNvSpPr/>
      </xdr:nvSpPr>
      <xdr:spPr>
        <a:xfrm>
          <a:off x="7950398" y="1167210"/>
          <a:ext cx="2889250" cy="736600"/>
        </a:xfrm>
        <a:prstGeom prst="rect">
          <a:avLst/>
        </a:prstGeom>
        <a:solidFill>
          <a:schemeClr val="accent1">
            <a:lumMod val="20000"/>
            <a:lumOff val="80000"/>
          </a:schemeClr>
        </a:solidFill>
        <a:ln w="317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lgDash"/>
          <a:extLst>
            <a:ext uri="{C807C97D-BFC1-408E-A445-0C87EB9F89A2}">
              <ask:lineSketchStyleProps xmlns:ask="http://schemas.microsoft.com/office/drawing/2018/sketchyshapes">
                <ask:type>
                  <ask:lineSketchNone/>
                </ask:type>
              </ask:lineSketchStyleProps>
            </a:ext>
          </a:extLst>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i="0" baseline="0">
              <a:solidFill>
                <a:schemeClr val="dk1"/>
              </a:solidFill>
              <a:effectLst/>
              <a:latin typeface="+mn-lt"/>
              <a:ea typeface="+mn-ea"/>
              <a:cs typeface="+mn-cs"/>
            </a:rPr>
            <a:t>Top Sector</a:t>
          </a:r>
          <a:endParaRPr lang="en-IN" sz="1200" b="1" i="0" u="none" strike="noStrike">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0" i="0">
              <a:solidFill>
                <a:schemeClr val="dk1"/>
              </a:solidFill>
              <a:effectLst/>
              <a:latin typeface="+mn-lt"/>
              <a:ea typeface="+mn-ea"/>
              <a:cs typeface="+mn-cs"/>
            </a:rPr>
            <a:t>Consumer Goods</a:t>
          </a:r>
          <a:endParaRPr lang="en-IN" sz="1600">
            <a:effectLst/>
          </a:endParaRPr>
        </a:p>
        <a:p>
          <a:pPr algn="ctr"/>
          <a:endParaRPr lang="en-IN" sz="1600"/>
        </a:p>
      </xdr:txBody>
    </xdr:sp>
    <xdr:clientData/>
  </xdr:twoCellAnchor>
  <xdr:twoCellAnchor editAs="oneCell">
    <xdr:from>
      <xdr:col>0</xdr:col>
      <xdr:colOff>0</xdr:colOff>
      <xdr:row>6</xdr:row>
      <xdr:rowOff>0</xdr:rowOff>
    </xdr:from>
    <xdr:to>
      <xdr:col>3</xdr:col>
      <xdr:colOff>13097</xdr:colOff>
      <xdr:row>19</xdr:row>
      <xdr:rowOff>73422</xdr:rowOff>
    </xdr:to>
    <mc:AlternateContent xmlns:mc="http://schemas.openxmlformats.org/markup-compatibility/2006" xmlns:a14="http://schemas.microsoft.com/office/drawing/2010/main">
      <mc:Choice Requires="a14">
        <xdr:graphicFrame macro="">
          <xdr:nvGraphicFramePr>
            <xdr:cNvPr id="15" name="MonthYear 1">
              <a:extLst>
                <a:ext uri="{FF2B5EF4-FFF2-40B4-BE49-F238E27FC236}">
                  <a16:creationId xmlns:a16="http://schemas.microsoft.com/office/drawing/2014/main" id="{C900291D-B5D6-4BF3-886E-D61A896E5068}"/>
                </a:ext>
              </a:extLst>
            </xdr:cNvPr>
            <xdr:cNvGraphicFramePr/>
          </xdr:nvGraphicFramePr>
          <xdr:xfrm>
            <a:off x="0" y="0"/>
            <a:ext cx="0" cy="0"/>
          </xdr:xfrm>
          <a:graphic>
            <a:graphicData uri="http://schemas.microsoft.com/office/drawing/2010/slicer">
              <sle:slicer xmlns:sle="http://schemas.microsoft.com/office/drawing/2010/slicer" name="MonthYear 1"/>
            </a:graphicData>
          </a:graphic>
        </xdr:graphicFrame>
      </mc:Choice>
      <mc:Fallback xmlns="">
        <xdr:sp macro="" textlink="">
          <xdr:nvSpPr>
            <xdr:cNvPr id="0" name=""/>
            <xdr:cNvSpPr>
              <a:spLocks noTextEdit="1"/>
            </xdr:cNvSpPr>
          </xdr:nvSpPr>
          <xdr:spPr>
            <a:xfrm>
              <a:off x="0" y="1116061"/>
              <a:ext cx="1841127" cy="2491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131579</xdr:colOff>
      <xdr:row>20</xdr:row>
      <xdr:rowOff>130387</xdr:rowOff>
    </xdr:from>
    <xdr:to>
      <xdr:col>17</xdr:col>
      <xdr:colOff>527651</xdr:colOff>
      <xdr:row>34</xdr:row>
      <xdr:rowOff>80778</xdr:rowOff>
    </xdr:to>
    <xdr:graphicFrame macro="">
      <xdr:nvGraphicFramePr>
        <xdr:cNvPr id="16" name="Chart 15">
          <a:extLst>
            <a:ext uri="{FF2B5EF4-FFF2-40B4-BE49-F238E27FC236}">
              <a16:creationId xmlns:a16="http://schemas.microsoft.com/office/drawing/2014/main" id="{EF3F3C17-6A5A-400D-A35D-69FE07ED2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11112</xdr:colOff>
      <xdr:row>43</xdr:row>
      <xdr:rowOff>90885</xdr:rowOff>
    </xdr:from>
    <xdr:to>
      <xdr:col>3</xdr:col>
      <xdr:colOff>24209</xdr:colOff>
      <xdr:row>48</xdr:row>
      <xdr:rowOff>168672</xdr:rowOff>
    </xdr:to>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id="{0A42E183-48B0-E123-CB66-6E2564F95A5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112" y="8089319"/>
              <a:ext cx="1841127" cy="1007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51197</xdr:rowOff>
    </xdr:from>
    <xdr:to>
      <xdr:col>3</xdr:col>
      <xdr:colOff>13097</xdr:colOff>
      <xdr:row>43</xdr:row>
      <xdr:rowOff>19845</xdr:rowOff>
    </xdr:to>
    <mc:AlternateContent xmlns:mc="http://schemas.openxmlformats.org/markup-compatibility/2006" xmlns:a14="http://schemas.microsoft.com/office/drawing/2010/main">
      <mc:Choice Requires="a14">
        <xdr:graphicFrame macro="">
          <xdr:nvGraphicFramePr>
            <xdr:cNvPr id="18" name="Event_Type">
              <a:extLst>
                <a:ext uri="{FF2B5EF4-FFF2-40B4-BE49-F238E27FC236}">
                  <a16:creationId xmlns:a16="http://schemas.microsoft.com/office/drawing/2014/main" id="{A3727408-004F-380E-5174-2BA0091183F9}"/>
                </a:ext>
              </a:extLst>
            </xdr:cNvPr>
            <xdr:cNvGraphicFramePr/>
          </xdr:nvGraphicFramePr>
          <xdr:xfrm>
            <a:off x="0" y="0"/>
            <a:ext cx="0" cy="0"/>
          </xdr:xfrm>
          <a:graphic>
            <a:graphicData uri="http://schemas.microsoft.com/office/drawing/2010/slicer">
              <sle:slicer xmlns:sle="http://schemas.microsoft.com/office/drawing/2010/slicer" name="Event_Type"/>
            </a:graphicData>
          </a:graphic>
        </xdr:graphicFrame>
      </mc:Choice>
      <mc:Fallback xmlns="">
        <xdr:sp macro="" textlink="">
          <xdr:nvSpPr>
            <xdr:cNvPr id="0" name=""/>
            <xdr:cNvSpPr>
              <a:spLocks noTextEdit="1"/>
            </xdr:cNvSpPr>
          </xdr:nvSpPr>
          <xdr:spPr>
            <a:xfrm>
              <a:off x="0" y="6003520"/>
              <a:ext cx="1841127" cy="2014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1191</xdr:colOff>
      <xdr:row>19</xdr:row>
      <xdr:rowOff>120650</xdr:rowOff>
    </xdr:from>
    <xdr:to>
      <xdr:col>3</xdr:col>
      <xdr:colOff>14288</xdr:colOff>
      <xdr:row>31</xdr:row>
      <xdr:rowOff>158750</xdr:rowOff>
    </xdr:to>
    <mc:AlternateContent xmlns:mc="http://schemas.openxmlformats.org/markup-compatibility/2006" xmlns:a14="http://schemas.microsoft.com/office/drawing/2010/main">
      <mc:Choice Requires="a14">
        <xdr:graphicFrame macro="">
          <xdr:nvGraphicFramePr>
            <xdr:cNvPr id="19" name="Sector">
              <a:extLst>
                <a:ext uri="{FF2B5EF4-FFF2-40B4-BE49-F238E27FC236}">
                  <a16:creationId xmlns:a16="http://schemas.microsoft.com/office/drawing/2014/main" id="{6D612B1C-D023-DAEA-8F06-E8762FC0A22D}"/>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191" y="3654842"/>
              <a:ext cx="1841127" cy="2270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14288</xdr:colOff>
      <xdr:row>49</xdr:row>
      <xdr:rowOff>78979</xdr:rowOff>
    </xdr:from>
    <xdr:to>
      <xdr:col>3</xdr:col>
      <xdr:colOff>27385</xdr:colOff>
      <xdr:row>56</xdr:row>
      <xdr:rowOff>99220</xdr:rowOff>
    </xdr:to>
    <mc:AlternateContent xmlns:mc="http://schemas.openxmlformats.org/markup-compatibility/2006" xmlns:a14="http://schemas.microsoft.com/office/drawing/2010/main">
      <mc:Choice Requires="a14">
        <xdr:graphicFrame macro="">
          <xdr:nvGraphicFramePr>
            <xdr:cNvPr id="21" name="Market_Cap_Category">
              <a:extLst>
                <a:ext uri="{FF2B5EF4-FFF2-40B4-BE49-F238E27FC236}">
                  <a16:creationId xmlns:a16="http://schemas.microsoft.com/office/drawing/2014/main" id="{D4B2817E-0796-5D8E-CD32-D90D5434E90B}"/>
                </a:ext>
              </a:extLst>
            </xdr:cNvPr>
            <xdr:cNvGraphicFramePr/>
          </xdr:nvGraphicFramePr>
          <xdr:xfrm>
            <a:off x="0" y="0"/>
            <a:ext cx="0" cy="0"/>
          </xdr:xfrm>
          <a:graphic>
            <a:graphicData uri="http://schemas.microsoft.com/office/drawing/2010/slicer">
              <sle:slicer xmlns:sle="http://schemas.microsoft.com/office/drawing/2010/slicer" name="Market_Cap_Category"/>
            </a:graphicData>
          </a:graphic>
        </xdr:graphicFrame>
      </mc:Choice>
      <mc:Fallback xmlns="">
        <xdr:sp macro="" textlink="">
          <xdr:nvSpPr>
            <xdr:cNvPr id="0" name=""/>
            <xdr:cNvSpPr>
              <a:spLocks noTextEdit="1"/>
            </xdr:cNvSpPr>
          </xdr:nvSpPr>
          <xdr:spPr>
            <a:xfrm>
              <a:off x="14288" y="9193474"/>
              <a:ext cx="1841127" cy="1322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136138</xdr:colOff>
      <xdr:row>34</xdr:row>
      <xdr:rowOff>178593</xdr:rowOff>
    </xdr:from>
    <xdr:to>
      <xdr:col>17</xdr:col>
      <xdr:colOff>523092</xdr:colOff>
      <xdr:row>49</xdr:row>
      <xdr:rowOff>19844</xdr:rowOff>
    </xdr:to>
    <xdr:graphicFrame macro="">
      <xdr:nvGraphicFramePr>
        <xdr:cNvPr id="22" name="Chart 21">
          <a:extLst>
            <a:ext uri="{FF2B5EF4-FFF2-40B4-BE49-F238E27FC236}">
              <a16:creationId xmlns:a16="http://schemas.microsoft.com/office/drawing/2014/main" id="{5AFFC859-03E8-4E34-A272-0EA32DEE9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141100</xdr:colOff>
      <xdr:row>49</xdr:row>
      <xdr:rowOff>115093</xdr:rowOff>
    </xdr:from>
    <xdr:to>
      <xdr:col>17</xdr:col>
      <xdr:colOff>518131</xdr:colOff>
      <xdr:row>62</xdr:row>
      <xdr:rowOff>3969</xdr:rowOff>
    </xdr:to>
    <xdr:graphicFrame macro="">
      <xdr:nvGraphicFramePr>
        <xdr:cNvPr id="23" name="Chart 22">
          <a:extLst>
            <a:ext uri="{FF2B5EF4-FFF2-40B4-BE49-F238E27FC236}">
              <a16:creationId xmlns:a16="http://schemas.microsoft.com/office/drawing/2014/main" id="{F523AEB2-9001-4D09-96ED-EF06162D6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156370</xdr:colOff>
      <xdr:row>62</xdr:row>
      <xdr:rowOff>71437</xdr:rowOff>
    </xdr:from>
    <xdr:to>
      <xdr:col>10</xdr:col>
      <xdr:colOff>259614</xdr:colOff>
      <xdr:row>74</xdr:row>
      <xdr:rowOff>1603</xdr:rowOff>
    </xdr:to>
    <xdr:graphicFrame macro="">
      <xdr:nvGraphicFramePr>
        <xdr:cNvPr id="24" name="Chart 23">
          <a:extLst>
            <a:ext uri="{FF2B5EF4-FFF2-40B4-BE49-F238E27FC236}">
              <a16:creationId xmlns:a16="http://schemas.microsoft.com/office/drawing/2014/main" id="{CEF275CC-295A-46CB-A9B4-CED554955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311227</xdr:colOff>
      <xdr:row>62</xdr:row>
      <xdr:rowOff>71707</xdr:rowOff>
    </xdr:from>
    <xdr:to>
      <xdr:col>17</xdr:col>
      <xdr:colOff>509765</xdr:colOff>
      <xdr:row>74</xdr:row>
      <xdr:rowOff>1603</xdr:rowOff>
    </xdr:to>
    <xdr:graphicFrame macro="">
      <xdr:nvGraphicFramePr>
        <xdr:cNvPr id="25" name="Chart 24">
          <a:extLst>
            <a:ext uri="{FF2B5EF4-FFF2-40B4-BE49-F238E27FC236}">
              <a16:creationId xmlns:a16="http://schemas.microsoft.com/office/drawing/2014/main" id="{9F310A50-550A-48C0-A8C9-EF907F204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124363</xdr:colOff>
      <xdr:row>14</xdr:row>
      <xdr:rowOff>179597</xdr:rowOff>
    </xdr:from>
    <xdr:to>
      <xdr:col>17</xdr:col>
      <xdr:colOff>534868</xdr:colOff>
      <xdr:row>20</xdr:row>
      <xdr:rowOff>32071</xdr:rowOff>
    </xdr:to>
    <xdr:sp macro="" textlink="">
      <xdr:nvSpPr>
        <xdr:cNvPr id="2" name="Rectangle 1">
          <a:extLst>
            <a:ext uri="{FF2B5EF4-FFF2-40B4-BE49-F238E27FC236}">
              <a16:creationId xmlns:a16="http://schemas.microsoft.com/office/drawing/2014/main" id="{221CC42C-8A2F-C232-D1A1-768B27F7BED2}"/>
            </a:ext>
          </a:extLst>
        </xdr:cNvPr>
        <xdr:cNvSpPr/>
      </xdr:nvSpPr>
      <xdr:spPr>
        <a:xfrm>
          <a:off x="1934113" y="2846597"/>
          <a:ext cx="8856005" cy="995474"/>
        </a:xfrm>
        <a:prstGeom prst="rect">
          <a:avLst/>
        </a:prstGeom>
        <a:solidFill>
          <a:schemeClr val="accent2">
            <a:lumMod val="20000"/>
            <a:lumOff val="80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solidFill>
              <a:schemeClr val="tx1"/>
            </a:solidFill>
          </a:endParaRPr>
        </a:p>
        <a:p>
          <a:pPr algn="l"/>
          <a:r>
            <a:rPr lang="en-IN" sz="1400">
              <a:solidFill>
                <a:schemeClr val="tx1"/>
              </a:solidFill>
            </a:rPr>
            <a:t>Corporate actions are concentrated in Consumer Goods, indicating higher restructuring activity in this sector. </a:t>
          </a:r>
        </a:p>
        <a:p>
          <a:pPr algn="l"/>
          <a:r>
            <a:rPr lang="en-IN" sz="1400">
              <a:solidFill>
                <a:schemeClr val="tx1"/>
              </a:solidFill>
            </a:rPr>
            <a:t>Tender Offers and Rights Issues together form the majority of events, suggesting capital restructuring is a key driver. </a:t>
          </a:r>
        </a:p>
        <a:p>
          <a:pPr algn="l"/>
          <a:r>
            <a:rPr lang="en-IN" sz="1400">
              <a:solidFill>
                <a:schemeClr val="tx1"/>
              </a:solidFill>
            </a:rPr>
            <a:t>A sharp decline in November followed by recovery indicates possible seasonal or reporting cycle impact.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efreshedDate="46115.944136574071" createdVersion="8" refreshedVersion="8" minRefreshableVersion="3" recordCount="250" xr:uid="{E0EA23FC-836E-4BE6-8555-CBDE9A41E51A}">
  <cacheSource type="worksheet">
    <worksheetSource name="Table1"/>
  </cacheSource>
  <cacheFields count="15">
    <cacheField name="Announcement_Date" numFmtId="164">
      <sharedItems containsSemiMixedTypes="0" containsNonDate="0" containsDate="1" containsString="0" minDate="2025-04-04T00:00:00" maxDate="2026-03-31T00:00:00"/>
    </cacheField>
    <cacheField name="MonthYear" numFmtId="165">
      <sharedItems containsSemiMixedTypes="0" containsNonDate="0" containsDate="1" containsString="0" minDate="2025-04-30T00:00:00" maxDate="2026-04-01T00:00:00" count="12">
        <d v="2025-07-31T00:00:00"/>
        <d v="2025-12-31T00:00:00"/>
        <d v="2025-11-30T00:00:00"/>
        <d v="2025-08-31T00:00:00"/>
        <d v="2025-10-31T00:00:00"/>
        <d v="2026-01-31T00:00:00"/>
        <d v="2025-05-31T00:00:00"/>
        <d v="2025-09-30T00:00:00"/>
        <d v="2026-03-31T00:00:00"/>
        <d v="2025-06-30T00:00:00"/>
        <d v="2025-04-30T00:00:00"/>
        <d v="2026-02-28T00:00:00"/>
      </sharedItems>
      <fieldGroup par="14"/>
    </cacheField>
    <cacheField name="Company_Name" numFmtId="0">
      <sharedItems/>
    </cacheField>
    <cacheField name="Country" numFmtId="0">
      <sharedItems count="2">
        <s v="Canada"/>
        <s v="USA"/>
      </sharedItems>
    </cacheField>
    <cacheField name="Exchange" numFmtId="0">
      <sharedItems/>
    </cacheField>
    <cacheField name="Country-Exchange" numFmtId="0">
      <sharedItems/>
    </cacheField>
    <cacheField name="Event_Type" numFmtId="0">
      <sharedItems count="6">
        <s v="Merger &amp; Acquisition"/>
        <s v="Stock Split"/>
        <s v="Rights Issue"/>
        <s v="Tender Offer"/>
        <s v="Dividend"/>
        <s v="Spin-off"/>
      </sharedItems>
    </cacheField>
    <cacheField name="Security_ID" numFmtId="0">
      <sharedItems/>
    </cacheField>
    <cacheField name="Identifier_Type" numFmtId="0">
      <sharedItems/>
    </cacheField>
    <cacheField name="Announcement_Source" numFmtId="0">
      <sharedItems/>
    </cacheField>
    <cacheField name="Sector" numFmtId="0">
      <sharedItems count="7">
        <s v="Finance"/>
        <s v="Telecommunications"/>
        <s v="Energy"/>
        <s v="Consumer Goods"/>
        <s v="Technology"/>
        <s v="Healthcare"/>
        <s v="Industrials"/>
      </sharedItems>
    </cacheField>
    <cacheField name="Market_Cap_Category" numFmtId="0">
      <sharedItems count="3">
        <s v="Mid Cap"/>
        <s v="Large Cap"/>
        <s v="Small Cap"/>
      </sharedItems>
    </cacheField>
    <cacheField name="Event_Status" numFmtId="0">
      <sharedItems/>
    </cacheField>
    <cacheField name="Months (MonthYear)" numFmtId="0" databaseField="0">
      <fieldGroup base="1">
        <rangePr groupBy="months" startDate="2025-04-30T00:00:00" endDate="2026-04-01T00:00:00"/>
        <groupItems count="14">
          <s v="&lt;30-04-2025"/>
          <s v="Jan"/>
          <s v="Feb"/>
          <s v="Mar"/>
          <s v="Apr"/>
          <s v="May"/>
          <s v="Jun"/>
          <s v="Jul"/>
          <s v="Aug"/>
          <s v="Sep"/>
          <s v="Oct"/>
          <s v="Nov"/>
          <s v="Dec"/>
          <s v="&gt;01-04-2026"/>
        </groupItems>
      </fieldGroup>
    </cacheField>
    <cacheField name="Years (MonthYear)" numFmtId="0" databaseField="0">
      <fieldGroup base="1">
        <rangePr groupBy="years" startDate="2025-04-30T00:00:00" endDate="2026-04-01T00:00:00"/>
        <groupItems count="4">
          <s v="&lt;30-04-2025"/>
          <s v="2025"/>
          <s v="2026"/>
          <s v="&gt;01-04-2026"/>
        </groupItems>
      </fieldGroup>
    </cacheField>
  </cacheFields>
  <extLst>
    <ext xmlns:x14="http://schemas.microsoft.com/office/spreadsheetml/2009/9/main" uri="{725AE2AE-9491-48be-B2B4-4EB974FC3084}">
      <x14:pivotCacheDefinition pivotCacheId="438318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d v="2025-07-22T00:00:00"/>
    <x v="0"/>
    <s v="Global Retail Corp"/>
    <x v="0"/>
    <s v="NASDAQ"/>
    <s v="Canada-NASDAQ"/>
    <x v="0"/>
    <s v="ID925046"/>
    <s v="SEDOL"/>
    <s v="Press Release"/>
    <x v="0"/>
    <x v="0"/>
    <s v="Completed"/>
  </r>
  <r>
    <d v="2025-12-21T00:00:00"/>
    <x v="1"/>
    <s v="Quantum Pharma"/>
    <x v="1"/>
    <s v="TSX"/>
    <s v="USA-TSX"/>
    <x v="0"/>
    <s v="ID823220"/>
    <s v="CUSIP"/>
    <s v="Exchange Announcement"/>
    <x v="0"/>
    <x v="1"/>
    <s v="Completed"/>
  </r>
  <r>
    <d v="2025-11-30T00:00:00"/>
    <x v="2"/>
    <s v="Summit Resources"/>
    <x v="0"/>
    <s v="NASDAQ"/>
    <s v="Canada-NASDAQ"/>
    <x v="1"/>
    <s v="ID828074"/>
    <s v="ISIN"/>
    <s v="Press Release"/>
    <x v="0"/>
    <x v="0"/>
    <s v="Completed"/>
  </r>
  <r>
    <d v="2025-08-16T00:00:00"/>
    <x v="3"/>
    <s v="Evergreen Foods"/>
    <x v="0"/>
    <s v="NYSE"/>
    <s v="Canada-NYSE"/>
    <x v="2"/>
    <s v="ID667668"/>
    <s v="CUSIP"/>
    <s v="Regulatory Filing"/>
    <x v="1"/>
    <x v="1"/>
    <s v="Completed"/>
  </r>
  <r>
    <d v="2025-11-22T00:00:00"/>
    <x v="2"/>
    <s v="Nova Materials"/>
    <x v="0"/>
    <s v="NASDAQ"/>
    <s v="Canada-NASDAQ"/>
    <x v="1"/>
    <s v="ID622495"/>
    <s v="SEDOL"/>
    <s v="Press Release"/>
    <x v="2"/>
    <x v="2"/>
    <s v="Announced"/>
  </r>
  <r>
    <d v="2025-10-27T00:00:00"/>
    <x v="4"/>
    <s v="Quantum Pharma"/>
    <x v="1"/>
    <s v="TSX"/>
    <s v="USA-TSX"/>
    <x v="3"/>
    <s v="ID509329"/>
    <s v="ISIN"/>
    <s v="Exchange Announcement"/>
    <x v="3"/>
    <x v="1"/>
    <s v="Announced"/>
  </r>
  <r>
    <d v="2026-01-05T00:00:00"/>
    <x v="5"/>
    <s v="Silverline Industries"/>
    <x v="0"/>
    <s v="NYSE"/>
    <s v="Canada-NYSE"/>
    <x v="4"/>
    <s v="ID136180"/>
    <s v="ISIN"/>
    <s v="Press Release"/>
    <x v="4"/>
    <x v="1"/>
    <s v="Announced"/>
  </r>
  <r>
    <d v="2025-05-26T00:00:00"/>
    <x v="6"/>
    <s v="Orion Aerospace"/>
    <x v="0"/>
    <s v="TSX"/>
    <s v="Canada-TSX"/>
    <x v="3"/>
    <s v="ID577662"/>
    <s v="ISIN"/>
    <s v="Press Release"/>
    <x v="5"/>
    <x v="2"/>
    <s v="Announced"/>
  </r>
  <r>
    <d v="2025-05-10T00:00:00"/>
    <x v="6"/>
    <s v="Pacific Motors"/>
    <x v="1"/>
    <s v="TSX"/>
    <s v="USA-TSX"/>
    <x v="2"/>
    <s v="ID531241"/>
    <s v="CUSIP"/>
    <s v="Exchange Announcement"/>
    <x v="1"/>
    <x v="2"/>
    <s v="Confirmed"/>
  </r>
  <r>
    <d v="2025-08-18T00:00:00"/>
    <x v="3"/>
    <s v="Maple Finance"/>
    <x v="0"/>
    <s v="NYSE"/>
    <s v="Canada-NYSE"/>
    <x v="5"/>
    <s v="ID509418"/>
    <s v="CUSIP"/>
    <s v="Press Release"/>
    <x v="5"/>
    <x v="0"/>
    <s v="Announced"/>
  </r>
  <r>
    <d v="2025-09-07T00:00:00"/>
    <x v="7"/>
    <s v="Evergreen Foods"/>
    <x v="1"/>
    <s v="NASDAQ"/>
    <s v="USA-NASDAQ"/>
    <x v="4"/>
    <s v="ID837386"/>
    <s v="CUSIP"/>
    <s v="Exchange Announcement"/>
    <x v="4"/>
    <x v="1"/>
    <s v="Confirmed"/>
  </r>
  <r>
    <d v="2026-03-30T00:00:00"/>
    <x v="8"/>
    <s v="Quantum Pharma"/>
    <x v="1"/>
    <s v="TSX"/>
    <s v="USA-TSX"/>
    <x v="4"/>
    <s v="ID323880"/>
    <s v="SEDOL"/>
    <s v="Regulatory Filing"/>
    <x v="5"/>
    <x v="0"/>
    <s v="Completed"/>
  </r>
  <r>
    <d v="2026-03-03T00:00:00"/>
    <x v="8"/>
    <s v="Summit Resources"/>
    <x v="0"/>
    <s v="NASDAQ"/>
    <s v="Canada-NASDAQ"/>
    <x v="5"/>
    <s v="ID581172"/>
    <s v="ISIN"/>
    <s v="Regulatory Filing"/>
    <x v="5"/>
    <x v="1"/>
    <s v="Confirmed"/>
  </r>
  <r>
    <d v="2025-09-30T00:00:00"/>
    <x v="7"/>
    <s v="NorthStar Tech"/>
    <x v="1"/>
    <s v="NYSE"/>
    <s v="USA-NYSE"/>
    <x v="4"/>
    <s v="ID974141"/>
    <s v="SEDOL"/>
    <s v="Press Release"/>
    <x v="6"/>
    <x v="1"/>
    <s v="Announced"/>
  </r>
  <r>
    <d v="2025-08-17T00:00:00"/>
    <x v="3"/>
    <s v="Orion Aerospace"/>
    <x v="0"/>
    <s v="TSX"/>
    <s v="Canada-TSX"/>
    <x v="3"/>
    <s v="ID119288"/>
    <s v="SEDOL"/>
    <s v="Regulatory Filing"/>
    <x v="4"/>
    <x v="1"/>
    <s v="Completed"/>
  </r>
  <r>
    <d v="2025-06-22T00:00:00"/>
    <x v="9"/>
    <s v="Pacific Motors"/>
    <x v="0"/>
    <s v="NYSE"/>
    <s v="Canada-NYSE"/>
    <x v="3"/>
    <s v="ID221440"/>
    <s v="SEDOL"/>
    <s v="Regulatory Filing"/>
    <x v="0"/>
    <x v="0"/>
    <s v="Completed"/>
  </r>
  <r>
    <d v="2025-06-27T00:00:00"/>
    <x v="9"/>
    <s v="Maple Finance"/>
    <x v="1"/>
    <s v="TSX"/>
    <s v="USA-TSX"/>
    <x v="5"/>
    <s v="ID450228"/>
    <s v="SEDOL"/>
    <s v="Exchange Announcement"/>
    <x v="6"/>
    <x v="1"/>
    <s v="Announced"/>
  </r>
  <r>
    <d v="2025-07-06T00:00:00"/>
    <x v="0"/>
    <s v="Silverline Industries"/>
    <x v="1"/>
    <s v="TSX"/>
    <s v="USA-TSX"/>
    <x v="0"/>
    <s v="ID173777"/>
    <s v="CUSIP"/>
    <s v="Regulatory Filing"/>
    <x v="0"/>
    <x v="1"/>
    <s v="Confirmed"/>
  </r>
  <r>
    <d v="2025-07-31T00:00:00"/>
    <x v="0"/>
    <s v="Alpha Energy"/>
    <x v="1"/>
    <s v="NASDAQ"/>
    <s v="USA-NASDAQ"/>
    <x v="5"/>
    <s v="ID814279"/>
    <s v="ISIN"/>
    <s v="Press Release"/>
    <x v="6"/>
    <x v="1"/>
    <s v="Confirmed"/>
  </r>
  <r>
    <d v="2025-10-26T00:00:00"/>
    <x v="4"/>
    <s v="Nova Materials"/>
    <x v="1"/>
    <s v="TSX"/>
    <s v="USA-TSX"/>
    <x v="3"/>
    <s v="ID990675"/>
    <s v="CUSIP"/>
    <s v="Exchange Announcement"/>
    <x v="6"/>
    <x v="1"/>
    <s v="Completed"/>
  </r>
  <r>
    <d v="2025-05-14T00:00:00"/>
    <x v="6"/>
    <s v="Orion Aerospace"/>
    <x v="0"/>
    <s v="NYSE"/>
    <s v="Canada-NYSE"/>
    <x v="1"/>
    <s v="ID699615"/>
    <s v="ISIN"/>
    <s v="Press Release"/>
    <x v="6"/>
    <x v="2"/>
    <s v="Completed"/>
  </r>
  <r>
    <d v="2025-08-18T00:00:00"/>
    <x v="3"/>
    <s v="Pacific Motors"/>
    <x v="1"/>
    <s v="TSX"/>
    <s v="USA-TSX"/>
    <x v="1"/>
    <s v="ID867716"/>
    <s v="ISIN"/>
    <s v="Regulatory Filing"/>
    <x v="2"/>
    <x v="2"/>
    <s v="Completed"/>
  </r>
  <r>
    <d v="2025-04-27T00:00:00"/>
    <x v="10"/>
    <s v="Orion Aerospace"/>
    <x v="0"/>
    <s v="NASDAQ"/>
    <s v="Canada-NASDAQ"/>
    <x v="2"/>
    <s v="ID433994"/>
    <s v="CUSIP"/>
    <s v="Regulatory Filing"/>
    <x v="3"/>
    <x v="2"/>
    <s v="Announced"/>
  </r>
  <r>
    <d v="2026-03-04T00:00:00"/>
    <x v="8"/>
    <s v="Pioneer Media"/>
    <x v="1"/>
    <s v="TSX"/>
    <s v="USA-TSX"/>
    <x v="4"/>
    <s v="ID589191"/>
    <s v="ISIN"/>
    <s v="Exchange Announcement"/>
    <x v="6"/>
    <x v="2"/>
    <s v="Confirmed"/>
  </r>
  <r>
    <d v="2025-08-01T00:00:00"/>
    <x v="3"/>
    <s v="Global Retail Corp"/>
    <x v="1"/>
    <s v="NASDAQ"/>
    <s v="USA-NASDAQ"/>
    <x v="0"/>
    <s v="ID388539"/>
    <s v="ISIN"/>
    <s v="Press Release"/>
    <x v="3"/>
    <x v="1"/>
    <s v="Announced"/>
  </r>
  <r>
    <d v="2025-09-17T00:00:00"/>
    <x v="7"/>
    <s v="Silverline Industries"/>
    <x v="0"/>
    <s v="NYSE"/>
    <s v="Canada-NYSE"/>
    <x v="1"/>
    <s v="ID641646"/>
    <s v="ISIN"/>
    <s v="Exchange Announcement"/>
    <x v="6"/>
    <x v="2"/>
    <s v="Completed"/>
  </r>
  <r>
    <d v="2026-01-12T00:00:00"/>
    <x v="5"/>
    <s v="Vertex Telecom"/>
    <x v="0"/>
    <s v="NASDAQ"/>
    <s v="Canada-NASDAQ"/>
    <x v="3"/>
    <s v="ID266107"/>
    <s v="SEDOL"/>
    <s v="Exchange Announcement"/>
    <x v="3"/>
    <x v="1"/>
    <s v="Completed"/>
  </r>
  <r>
    <d v="2025-10-18T00:00:00"/>
    <x v="4"/>
    <s v="Quantum Pharma"/>
    <x v="0"/>
    <s v="NYSE"/>
    <s v="Canada-NYSE"/>
    <x v="2"/>
    <s v="ID342692"/>
    <s v="CUSIP"/>
    <s v="Press Release"/>
    <x v="3"/>
    <x v="1"/>
    <s v="Announced"/>
  </r>
  <r>
    <d v="2025-12-08T00:00:00"/>
    <x v="1"/>
    <s v="Evergreen Foods"/>
    <x v="0"/>
    <s v="TSX"/>
    <s v="Canada-TSX"/>
    <x v="0"/>
    <s v="ID158731"/>
    <s v="ISIN"/>
    <s v="Press Release"/>
    <x v="5"/>
    <x v="2"/>
    <s v="Completed"/>
  </r>
  <r>
    <d v="2025-05-02T00:00:00"/>
    <x v="6"/>
    <s v="Nova Materials"/>
    <x v="1"/>
    <s v="NASDAQ"/>
    <s v="USA-NASDAQ"/>
    <x v="3"/>
    <s v="ID327171"/>
    <s v="ISIN"/>
    <s v="Regulatory Filing"/>
    <x v="6"/>
    <x v="2"/>
    <s v="Announced"/>
  </r>
  <r>
    <d v="2026-02-09T00:00:00"/>
    <x v="11"/>
    <s v="Pioneer Media"/>
    <x v="1"/>
    <s v="NYSE"/>
    <s v="USA-NYSE"/>
    <x v="5"/>
    <s v="ID143630"/>
    <s v="CUSIP"/>
    <s v="Exchange Announcement"/>
    <x v="3"/>
    <x v="2"/>
    <s v="Announced"/>
  </r>
  <r>
    <d v="2025-06-09T00:00:00"/>
    <x v="9"/>
    <s v="Silverline Industries"/>
    <x v="1"/>
    <s v="NYSE"/>
    <s v="USA-NYSE"/>
    <x v="2"/>
    <s v="ID424605"/>
    <s v="ISIN"/>
    <s v="Regulatory Filing"/>
    <x v="5"/>
    <x v="1"/>
    <s v="Confirmed"/>
  </r>
  <r>
    <d v="2025-05-12T00:00:00"/>
    <x v="6"/>
    <s v="Orion Aerospace"/>
    <x v="0"/>
    <s v="NASDAQ"/>
    <s v="Canada-NASDAQ"/>
    <x v="5"/>
    <s v="ID803264"/>
    <s v="CUSIP"/>
    <s v="Press Release"/>
    <x v="3"/>
    <x v="1"/>
    <s v="Confirmed"/>
  </r>
  <r>
    <d v="2025-10-13T00:00:00"/>
    <x v="4"/>
    <s v="Summit Resources"/>
    <x v="1"/>
    <s v="TSX"/>
    <s v="USA-TSX"/>
    <x v="3"/>
    <s v="ID718700"/>
    <s v="ISIN"/>
    <s v="Exchange Announcement"/>
    <x v="5"/>
    <x v="2"/>
    <s v="Announced"/>
  </r>
  <r>
    <d v="2025-05-29T00:00:00"/>
    <x v="6"/>
    <s v="Crescent Utilities"/>
    <x v="0"/>
    <s v="NYSE"/>
    <s v="Canada-NYSE"/>
    <x v="5"/>
    <s v="ID670793"/>
    <s v="CUSIP"/>
    <s v="Exchange Announcement"/>
    <x v="3"/>
    <x v="0"/>
    <s v="Confirmed"/>
  </r>
  <r>
    <d v="2025-06-21T00:00:00"/>
    <x v="9"/>
    <s v="NorthStar Tech"/>
    <x v="1"/>
    <s v="TSX"/>
    <s v="USA-TSX"/>
    <x v="5"/>
    <s v="ID206471"/>
    <s v="CUSIP"/>
    <s v="Press Release"/>
    <x v="4"/>
    <x v="1"/>
    <s v="Completed"/>
  </r>
  <r>
    <d v="2025-09-13T00:00:00"/>
    <x v="7"/>
    <s v="NorthStar Tech"/>
    <x v="0"/>
    <s v="NASDAQ"/>
    <s v="Canada-NASDAQ"/>
    <x v="0"/>
    <s v="ID768740"/>
    <s v="SEDOL"/>
    <s v="Regulatory Filing"/>
    <x v="3"/>
    <x v="1"/>
    <s v="Announced"/>
  </r>
  <r>
    <d v="2026-02-25T00:00:00"/>
    <x v="11"/>
    <s v="Silverline Industries"/>
    <x v="0"/>
    <s v="NASDAQ"/>
    <s v="Canada-NASDAQ"/>
    <x v="1"/>
    <s v="ID270721"/>
    <s v="SEDOL"/>
    <s v="Exchange Announcement"/>
    <x v="1"/>
    <x v="1"/>
    <s v="Confirmed"/>
  </r>
  <r>
    <d v="2025-12-02T00:00:00"/>
    <x v="1"/>
    <s v="Orion Aerospace"/>
    <x v="0"/>
    <s v="NASDAQ"/>
    <s v="Canada-NASDAQ"/>
    <x v="2"/>
    <s v="ID927968"/>
    <s v="CUSIP"/>
    <s v="Press Release"/>
    <x v="0"/>
    <x v="1"/>
    <s v="Announced"/>
  </r>
  <r>
    <d v="2026-01-12T00:00:00"/>
    <x v="5"/>
    <s v="Silverline Industries"/>
    <x v="0"/>
    <s v="NASDAQ"/>
    <s v="Canada-NASDAQ"/>
    <x v="5"/>
    <s v="ID695028"/>
    <s v="SEDOL"/>
    <s v="Regulatory Filing"/>
    <x v="6"/>
    <x v="2"/>
    <s v="Confirmed"/>
  </r>
  <r>
    <d v="2026-03-23T00:00:00"/>
    <x v="8"/>
    <s v="Pacific Motors"/>
    <x v="0"/>
    <s v="NYSE"/>
    <s v="Canada-NYSE"/>
    <x v="4"/>
    <s v="ID726177"/>
    <s v="SEDOL"/>
    <s v="Exchange Announcement"/>
    <x v="1"/>
    <x v="1"/>
    <s v="Completed"/>
  </r>
  <r>
    <d v="2025-08-26T00:00:00"/>
    <x v="3"/>
    <s v="Quantum Pharma"/>
    <x v="1"/>
    <s v="NASDAQ"/>
    <s v="USA-NASDAQ"/>
    <x v="4"/>
    <s v="ID976842"/>
    <s v="SEDOL"/>
    <s v="Exchange Announcement"/>
    <x v="2"/>
    <x v="1"/>
    <s v="Confirmed"/>
  </r>
  <r>
    <d v="2026-03-04T00:00:00"/>
    <x v="8"/>
    <s v="NorthStar Tech"/>
    <x v="1"/>
    <s v="NASDAQ"/>
    <s v="USA-NASDAQ"/>
    <x v="3"/>
    <s v="ID757084"/>
    <s v="ISIN"/>
    <s v="Exchange Announcement"/>
    <x v="2"/>
    <x v="2"/>
    <s v="Announced"/>
  </r>
  <r>
    <d v="2026-02-11T00:00:00"/>
    <x v="11"/>
    <s v="Silverline Industries"/>
    <x v="0"/>
    <s v="TSX"/>
    <s v="Canada-TSX"/>
    <x v="2"/>
    <s v="ID674591"/>
    <s v="CUSIP"/>
    <s v="Regulatory Filing"/>
    <x v="2"/>
    <x v="0"/>
    <s v="Completed"/>
  </r>
  <r>
    <d v="2025-09-02T00:00:00"/>
    <x v="7"/>
    <s v="Alpha Energy"/>
    <x v="1"/>
    <s v="NASDAQ"/>
    <s v="USA-NASDAQ"/>
    <x v="4"/>
    <s v="ID617206"/>
    <s v="CUSIP"/>
    <s v="Press Release"/>
    <x v="2"/>
    <x v="1"/>
    <s v="Completed"/>
  </r>
  <r>
    <d v="2026-01-21T00:00:00"/>
    <x v="5"/>
    <s v="Alpha Energy"/>
    <x v="0"/>
    <s v="TSX"/>
    <s v="Canada-TSX"/>
    <x v="4"/>
    <s v="ID767265"/>
    <s v="CUSIP"/>
    <s v="Press Release"/>
    <x v="1"/>
    <x v="2"/>
    <s v="Completed"/>
  </r>
  <r>
    <d v="2026-03-30T00:00:00"/>
    <x v="8"/>
    <s v="NorthStar Tech"/>
    <x v="1"/>
    <s v="NASDAQ"/>
    <s v="USA-NASDAQ"/>
    <x v="3"/>
    <s v="ID350803"/>
    <s v="SEDOL"/>
    <s v="Regulatory Filing"/>
    <x v="3"/>
    <x v="2"/>
    <s v="Completed"/>
  </r>
  <r>
    <d v="2025-07-03T00:00:00"/>
    <x v="0"/>
    <s v="Vertex Telecom"/>
    <x v="0"/>
    <s v="NYSE"/>
    <s v="Canada-NYSE"/>
    <x v="1"/>
    <s v="ID426908"/>
    <s v="SEDOL"/>
    <s v="Regulatory Filing"/>
    <x v="5"/>
    <x v="1"/>
    <s v="Announced"/>
  </r>
  <r>
    <d v="2025-08-08T00:00:00"/>
    <x v="3"/>
    <s v="NorthStar Tech"/>
    <x v="0"/>
    <s v="NYSE"/>
    <s v="Canada-NYSE"/>
    <x v="0"/>
    <s v="ID891227"/>
    <s v="SEDOL"/>
    <s v="Exchange Announcement"/>
    <x v="1"/>
    <x v="2"/>
    <s v="Confirmed"/>
  </r>
  <r>
    <d v="2025-07-15T00:00:00"/>
    <x v="0"/>
    <s v="Silverline Industries"/>
    <x v="0"/>
    <s v="NYSE"/>
    <s v="Canada-NYSE"/>
    <x v="0"/>
    <s v="ID599142"/>
    <s v="SEDOL"/>
    <s v="Regulatory Filing"/>
    <x v="0"/>
    <x v="0"/>
    <s v="Announced"/>
  </r>
  <r>
    <d v="2026-02-02T00:00:00"/>
    <x v="11"/>
    <s v="Alpha Energy"/>
    <x v="0"/>
    <s v="TSX"/>
    <s v="Canada-TSX"/>
    <x v="0"/>
    <s v="ID852285"/>
    <s v="CUSIP"/>
    <s v="Exchange Announcement"/>
    <x v="3"/>
    <x v="1"/>
    <s v="Confirmed"/>
  </r>
  <r>
    <d v="2025-05-28T00:00:00"/>
    <x v="6"/>
    <s v="Quantum Pharma"/>
    <x v="1"/>
    <s v="NYSE"/>
    <s v="USA-NYSE"/>
    <x v="4"/>
    <s v="ID413312"/>
    <s v="CUSIP"/>
    <s v="Press Release"/>
    <x v="5"/>
    <x v="2"/>
    <s v="Completed"/>
  </r>
  <r>
    <d v="2026-03-05T00:00:00"/>
    <x v="8"/>
    <s v="Global Retail Corp"/>
    <x v="0"/>
    <s v="NYSE"/>
    <s v="Canada-NYSE"/>
    <x v="0"/>
    <s v="ID362467"/>
    <s v="CUSIP"/>
    <s v="Exchange Announcement"/>
    <x v="6"/>
    <x v="1"/>
    <s v="Completed"/>
  </r>
  <r>
    <d v="2025-05-19T00:00:00"/>
    <x v="6"/>
    <s v="BlueWave Logistics"/>
    <x v="0"/>
    <s v="NASDAQ"/>
    <s v="Canada-NASDAQ"/>
    <x v="4"/>
    <s v="ID531926"/>
    <s v="ISIN"/>
    <s v="Regulatory Filing"/>
    <x v="0"/>
    <x v="1"/>
    <s v="Completed"/>
  </r>
  <r>
    <d v="2025-07-08T00:00:00"/>
    <x v="0"/>
    <s v="Global Retail Corp"/>
    <x v="0"/>
    <s v="TSX"/>
    <s v="Canada-TSX"/>
    <x v="0"/>
    <s v="ID174677"/>
    <s v="ISIN"/>
    <s v="Press Release"/>
    <x v="4"/>
    <x v="2"/>
    <s v="Completed"/>
  </r>
  <r>
    <d v="2026-03-07T00:00:00"/>
    <x v="8"/>
    <s v="Global Retail Corp"/>
    <x v="1"/>
    <s v="NASDAQ"/>
    <s v="USA-NASDAQ"/>
    <x v="4"/>
    <s v="ID744066"/>
    <s v="CUSIP"/>
    <s v="Press Release"/>
    <x v="0"/>
    <x v="1"/>
    <s v="Confirmed"/>
  </r>
  <r>
    <d v="2025-06-25T00:00:00"/>
    <x v="9"/>
    <s v="BlueWave Logistics"/>
    <x v="1"/>
    <s v="NASDAQ"/>
    <s v="USA-NASDAQ"/>
    <x v="1"/>
    <s v="ID112232"/>
    <s v="ISIN"/>
    <s v="Exchange Announcement"/>
    <x v="4"/>
    <x v="2"/>
    <s v="Announced"/>
  </r>
  <r>
    <d v="2025-10-10T00:00:00"/>
    <x v="4"/>
    <s v="Evergreen Foods"/>
    <x v="1"/>
    <s v="NASDAQ"/>
    <s v="USA-NASDAQ"/>
    <x v="1"/>
    <s v="ID490180"/>
    <s v="SEDOL"/>
    <s v="Regulatory Filing"/>
    <x v="1"/>
    <x v="1"/>
    <s v="Announced"/>
  </r>
  <r>
    <d v="2025-11-19T00:00:00"/>
    <x v="2"/>
    <s v="Crescent Utilities"/>
    <x v="0"/>
    <s v="TSX"/>
    <s v="Canada-TSX"/>
    <x v="3"/>
    <s v="ID699418"/>
    <s v="ISIN"/>
    <s v="Press Release"/>
    <x v="4"/>
    <x v="1"/>
    <s v="Announced"/>
  </r>
  <r>
    <d v="2025-10-28T00:00:00"/>
    <x v="4"/>
    <s v="NorthStar Tech"/>
    <x v="1"/>
    <s v="TSX"/>
    <s v="USA-TSX"/>
    <x v="4"/>
    <s v="ID596949"/>
    <s v="SEDOL"/>
    <s v="Press Release"/>
    <x v="4"/>
    <x v="0"/>
    <s v="Announced"/>
  </r>
  <r>
    <d v="2025-06-30T00:00:00"/>
    <x v="9"/>
    <s v="Maple Finance"/>
    <x v="0"/>
    <s v="NYSE"/>
    <s v="Canada-NYSE"/>
    <x v="2"/>
    <s v="ID899380"/>
    <s v="ISIN"/>
    <s v="Press Release"/>
    <x v="1"/>
    <x v="2"/>
    <s v="Completed"/>
  </r>
  <r>
    <d v="2025-04-18T00:00:00"/>
    <x v="10"/>
    <s v="BlueWave Logistics"/>
    <x v="1"/>
    <s v="TSX"/>
    <s v="USA-TSX"/>
    <x v="1"/>
    <s v="ID861233"/>
    <s v="ISIN"/>
    <s v="Press Release"/>
    <x v="6"/>
    <x v="1"/>
    <s v="Confirmed"/>
  </r>
  <r>
    <d v="2025-07-23T00:00:00"/>
    <x v="0"/>
    <s v="Global Retail Corp"/>
    <x v="0"/>
    <s v="NASDAQ"/>
    <s v="Canada-NASDAQ"/>
    <x v="2"/>
    <s v="ID384957"/>
    <s v="ISIN"/>
    <s v="Regulatory Filing"/>
    <x v="4"/>
    <x v="0"/>
    <s v="Confirmed"/>
  </r>
  <r>
    <d v="2026-03-29T00:00:00"/>
    <x v="8"/>
    <s v="Evergreen Foods"/>
    <x v="0"/>
    <s v="TSX"/>
    <s v="Canada-TSX"/>
    <x v="4"/>
    <s v="ID639180"/>
    <s v="SEDOL"/>
    <s v="Regulatory Filing"/>
    <x v="3"/>
    <x v="2"/>
    <s v="Announced"/>
  </r>
  <r>
    <d v="2025-09-13T00:00:00"/>
    <x v="7"/>
    <s v="Pioneer Media"/>
    <x v="0"/>
    <s v="TSX"/>
    <s v="Canada-TSX"/>
    <x v="4"/>
    <s v="ID958569"/>
    <s v="ISIN"/>
    <s v="Press Release"/>
    <x v="4"/>
    <x v="1"/>
    <s v="Confirmed"/>
  </r>
  <r>
    <d v="2025-05-05T00:00:00"/>
    <x v="6"/>
    <s v="Nova Materials"/>
    <x v="1"/>
    <s v="NASDAQ"/>
    <s v="USA-NASDAQ"/>
    <x v="2"/>
    <s v="ID305131"/>
    <s v="CUSIP"/>
    <s v="Regulatory Filing"/>
    <x v="3"/>
    <x v="2"/>
    <s v="Completed"/>
  </r>
  <r>
    <d v="2025-10-10T00:00:00"/>
    <x v="4"/>
    <s v="Pacific Motors"/>
    <x v="1"/>
    <s v="NASDAQ"/>
    <s v="USA-NASDAQ"/>
    <x v="0"/>
    <s v="ID649164"/>
    <s v="CUSIP"/>
    <s v="Exchange Announcement"/>
    <x v="4"/>
    <x v="0"/>
    <s v="Completed"/>
  </r>
  <r>
    <d v="2025-09-13T00:00:00"/>
    <x v="7"/>
    <s v="Summit Resources"/>
    <x v="0"/>
    <s v="TSX"/>
    <s v="Canada-TSX"/>
    <x v="2"/>
    <s v="ID320382"/>
    <s v="CUSIP"/>
    <s v="Exchange Announcement"/>
    <x v="0"/>
    <x v="1"/>
    <s v="Completed"/>
  </r>
  <r>
    <d v="2025-11-13T00:00:00"/>
    <x v="2"/>
    <s v="Crescent Utilities"/>
    <x v="0"/>
    <s v="TSX"/>
    <s v="Canada-TSX"/>
    <x v="5"/>
    <s v="ID788311"/>
    <s v="CUSIP"/>
    <s v="Press Release"/>
    <x v="6"/>
    <x v="1"/>
    <s v="Announced"/>
  </r>
  <r>
    <d v="2026-02-03T00:00:00"/>
    <x v="11"/>
    <s v="BlueWave Logistics"/>
    <x v="0"/>
    <s v="NYSE"/>
    <s v="Canada-NYSE"/>
    <x v="3"/>
    <s v="ID910167"/>
    <s v="CUSIP"/>
    <s v="Exchange Announcement"/>
    <x v="4"/>
    <x v="1"/>
    <s v="Announced"/>
  </r>
  <r>
    <d v="2026-01-17T00:00:00"/>
    <x v="5"/>
    <s v="Maple Finance"/>
    <x v="1"/>
    <s v="NASDAQ"/>
    <s v="USA-NASDAQ"/>
    <x v="5"/>
    <s v="ID818354"/>
    <s v="ISIN"/>
    <s v="Exchange Announcement"/>
    <x v="0"/>
    <x v="1"/>
    <s v="Confirmed"/>
  </r>
  <r>
    <d v="2026-03-21T00:00:00"/>
    <x v="8"/>
    <s v="Summit Resources"/>
    <x v="0"/>
    <s v="NYSE"/>
    <s v="Canada-NYSE"/>
    <x v="1"/>
    <s v="ID149725"/>
    <s v="CUSIP"/>
    <s v="Press Release"/>
    <x v="3"/>
    <x v="2"/>
    <s v="Confirmed"/>
  </r>
  <r>
    <d v="2025-08-03T00:00:00"/>
    <x v="3"/>
    <s v="Alpha Energy"/>
    <x v="0"/>
    <s v="NYSE"/>
    <s v="Canada-NYSE"/>
    <x v="1"/>
    <s v="ID839123"/>
    <s v="ISIN"/>
    <s v="Press Release"/>
    <x v="6"/>
    <x v="0"/>
    <s v="Confirmed"/>
  </r>
  <r>
    <d v="2026-01-31T00:00:00"/>
    <x v="5"/>
    <s v="Nova Materials"/>
    <x v="1"/>
    <s v="NYSE"/>
    <s v="USA-NYSE"/>
    <x v="4"/>
    <s v="ID190900"/>
    <s v="ISIN"/>
    <s v="Exchange Announcement"/>
    <x v="2"/>
    <x v="1"/>
    <s v="Announced"/>
  </r>
  <r>
    <d v="2025-08-09T00:00:00"/>
    <x v="3"/>
    <s v="Silverline Industries"/>
    <x v="1"/>
    <s v="NYSE"/>
    <s v="USA-NYSE"/>
    <x v="2"/>
    <s v="ID743381"/>
    <s v="ISIN"/>
    <s v="Regulatory Filing"/>
    <x v="0"/>
    <x v="2"/>
    <s v="Announced"/>
  </r>
  <r>
    <d v="2025-07-15T00:00:00"/>
    <x v="0"/>
    <s v="Quantum Pharma"/>
    <x v="0"/>
    <s v="TSX"/>
    <s v="Canada-TSX"/>
    <x v="0"/>
    <s v="ID263542"/>
    <s v="CUSIP"/>
    <s v="Regulatory Filing"/>
    <x v="1"/>
    <x v="0"/>
    <s v="Announced"/>
  </r>
  <r>
    <d v="2026-02-02T00:00:00"/>
    <x v="11"/>
    <s v="Maple Finance"/>
    <x v="0"/>
    <s v="TSX"/>
    <s v="Canada-TSX"/>
    <x v="3"/>
    <s v="ID832182"/>
    <s v="SEDOL"/>
    <s v="Exchange Announcement"/>
    <x v="6"/>
    <x v="2"/>
    <s v="Announced"/>
  </r>
  <r>
    <d v="2025-04-22T00:00:00"/>
    <x v="10"/>
    <s v="Orion Aerospace"/>
    <x v="0"/>
    <s v="NYSE"/>
    <s v="Canada-NYSE"/>
    <x v="1"/>
    <s v="ID528243"/>
    <s v="CUSIP"/>
    <s v="Regulatory Filing"/>
    <x v="5"/>
    <x v="1"/>
    <s v="Completed"/>
  </r>
  <r>
    <d v="2025-08-28T00:00:00"/>
    <x v="3"/>
    <s v="Orion Aerospace"/>
    <x v="0"/>
    <s v="NYSE"/>
    <s v="Canada-NYSE"/>
    <x v="0"/>
    <s v="ID242366"/>
    <s v="CUSIP"/>
    <s v="Regulatory Filing"/>
    <x v="4"/>
    <x v="2"/>
    <s v="Completed"/>
  </r>
  <r>
    <d v="2025-12-26T00:00:00"/>
    <x v="1"/>
    <s v="Alpha Energy"/>
    <x v="1"/>
    <s v="TSX"/>
    <s v="USA-TSX"/>
    <x v="2"/>
    <s v="ID858466"/>
    <s v="SEDOL"/>
    <s v="Regulatory Filing"/>
    <x v="2"/>
    <x v="0"/>
    <s v="Announced"/>
  </r>
  <r>
    <d v="2026-03-21T00:00:00"/>
    <x v="8"/>
    <s v="Vertex Telecom"/>
    <x v="0"/>
    <s v="TSX"/>
    <s v="Canada-TSX"/>
    <x v="1"/>
    <s v="ID619006"/>
    <s v="SEDOL"/>
    <s v="Regulatory Filing"/>
    <x v="6"/>
    <x v="0"/>
    <s v="Completed"/>
  </r>
  <r>
    <d v="2026-01-02T00:00:00"/>
    <x v="5"/>
    <s v="Summit Resources"/>
    <x v="0"/>
    <s v="NASDAQ"/>
    <s v="Canada-NASDAQ"/>
    <x v="4"/>
    <s v="ID259998"/>
    <s v="CUSIP"/>
    <s v="Exchange Announcement"/>
    <x v="5"/>
    <x v="2"/>
    <s v="Completed"/>
  </r>
  <r>
    <d v="2025-12-13T00:00:00"/>
    <x v="1"/>
    <s v="NorthStar Tech"/>
    <x v="1"/>
    <s v="NYSE"/>
    <s v="USA-NYSE"/>
    <x v="2"/>
    <s v="ID993835"/>
    <s v="CUSIP"/>
    <s v="Exchange Announcement"/>
    <x v="4"/>
    <x v="2"/>
    <s v="Announced"/>
  </r>
  <r>
    <d v="2025-12-26T00:00:00"/>
    <x v="1"/>
    <s v="Pacific Motors"/>
    <x v="0"/>
    <s v="NYSE"/>
    <s v="Canada-NYSE"/>
    <x v="2"/>
    <s v="ID429972"/>
    <s v="SEDOL"/>
    <s v="Exchange Announcement"/>
    <x v="6"/>
    <x v="2"/>
    <s v="Confirmed"/>
  </r>
  <r>
    <d v="2025-04-24T00:00:00"/>
    <x v="10"/>
    <s v="Summit Resources"/>
    <x v="0"/>
    <s v="TSX"/>
    <s v="Canada-TSX"/>
    <x v="3"/>
    <s v="ID147587"/>
    <s v="CUSIP"/>
    <s v="Regulatory Filing"/>
    <x v="3"/>
    <x v="2"/>
    <s v="Completed"/>
  </r>
  <r>
    <d v="2025-05-28T00:00:00"/>
    <x v="6"/>
    <s v="Pioneer Media"/>
    <x v="0"/>
    <s v="TSX"/>
    <s v="Canada-TSX"/>
    <x v="2"/>
    <s v="ID384879"/>
    <s v="SEDOL"/>
    <s v="Press Release"/>
    <x v="4"/>
    <x v="0"/>
    <s v="Completed"/>
  </r>
  <r>
    <d v="2025-04-10T00:00:00"/>
    <x v="10"/>
    <s v="Evergreen Foods"/>
    <x v="1"/>
    <s v="NYSE"/>
    <s v="USA-NYSE"/>
    <x v="3"/>
    <s v="ID371897"/>
    <s v="ISIN"/>
    <s v="Regulatory Filing"/>
    <x v="0"/>
    <x v="0"/>
    <s v="Completed"/>
  </r>
  <r>
    <d v="2025-09-07T00:00:00"/>
    <x v="7"/>
    <s v="Nova Materials"/>
    <x v="0"/>
    <s v="NASDAQ"/>
    <s v="Canada-NASDAQ"/>
    <x v="3"/>
    <s v="ID398087"/>
    <s v="CUSIP"/>
    <s v="Press Release"/>
    <x v="2"/>
    <x v="2"/>
    <s v="Announced"/>
  </r>
  <r>
    <d v="2026-03-24T00:00:00"/>
    <x v="8"/>
    <s v="Orion Aerospace"/>
    <x v="0"/>
    <s v="NASDAQ"/>
    <s v="Canada-NASDAQ"/>
    <x v="5"/>
    <s v="ID590338"/>
    <s v="CUSIP"/>
    <s v="Regulatory Filing"/>
    <x v="5"/>
    <x v="0"/>
    <s v="Announced"/>
  </r>
  <r>
    <d v="2025-05-05T00:00:00"/>
    <x v="6"/>
    <s v="Vertex Telecom"/>
    <x v="1"/>
    <s v="NASDAQ"/>
    <s v="USA-NASDAQ"/>
    <x v="0"/>
    <s v="ID520429"/>
    <s v="ISIN"/>
    <s v="Regulatory Filing"/>
    <x v="0"/>
    <x v="0"/>
    <s v="Completed"/>
  </r>
  <r>
    <d v="2025-05-28T00:00:00"/>
    <x v="6"/>
    <s v="Evergreen Foods"/>
    <x v="1"/>
    <s v="NYSE"/>
    <s v="USA-NYSE"/>
    <x v="0"/>
    <s v="ID211329"/>
    <s v="SEDOL"/>
    <s v="Press Release"/>
    <x v="3"/>
    <x v="0"/>
    <s v="Confirmed"/>
  </r>
  <r>
    <d v="2025-08-19T00:00:00"/>
    <x v="3"/>
    <s v="Crescent Utilities"/>
    <x v="1"/>
    <s v="TSX"/>
    <s v="USA-TSX"/>
    <x v="1"/>
    <s v="ID829239"/>
    <s v="SEDOL"/>
    <s v="Regulatory Filing"/>
    <x v="0"/>
    <x v="2"/>
    <s v="Completed"/>
  </r>
  <r>
    <d v="2026-01-24T00:00:00"/>
    <x v="5"/>
    <s v="BlueWave Logistics"/>
    <x v="0"/>
    <s v="TSX"/>
    <s v="Canada-TSX"/>
    <x v="3"/>
    <s v="ID232369"/>
    <s v="ISIN"/>
    <s v="Regulatory Filing"/>
    <x v="3"/>
    <x v="0"/>
    <s v="Confirmed"/>
  </r>
  <r>
    <d v="2025-09-27T00:00:00"/>
    <x v="7"/>
    <s v="Pioneer Media"/>
    <x v="1"/>
    <s v="TSX"/>
    <s v="USA-TSX"/>
    <x v="5"/>
    <s v="ID107176"/>
    <s v="ISIN"/>
    <s v="Regulatory Filing"/>
    <x v="4"/>
    <x v="2"/>
    <s v="Announced"/>
  </r>
  <r>
    <d v="2025-07-11T00:00:00"/>
    <x v="0"/>
    <s v="Crescent Utilities"/>
    <x v="1"/>
    <s v="TSX"/>
    <s v="USA-TSX"/>
    <x v="4"/>
    <s v="ID256708"/>
    <s v="CUSIP"/>
    <s v="Regulatory Filing"/>
    <x v="3"/>
    <x v="1"/>
    <s v="Completed"/>
  </r>
  <r>
    <d v="2026-02-25T00:00:00"/>
    <x v="11"/>
    <s v="Global Retail Corp"/>
    <x v="0"/>
    <s v="TSX"/>
    <s v="Canada-TSX"/>
    <x v="0"/>
    <s v="ID371132"/>
    <s v="SEDOL"/>
    <s v="Press Release"/>
    <x v="6"/>
    <x v="0"/>
    <s v="Confirmed"/>
  </r>
  <r>
    <d v="2025-06-13T00:00:00"/>
    <x v="9"/>
    <s v="Global Retail Corp"/>
    <x v="0"/>
    <s v="NYSE"/>
    <s v="Canada-NYSE"/>
    <x v="5"/>
    <s v="ID400328"/>
    <s v="ISIN"/>
    <s v="Press Release"/>
    <x v="2"/>
    <x v="0"/>
    <s v="Completed"/>
  </r>
  <r>
    <d v="2025-09-02T00:00:00"/>
    <x v="7"/>
    <s v="Maple Finance"/>
    <x v="1"/>
    <s v="NYSE"/>
    <s v="USA-NYSE"/>
    <x v="1"/>
    <s v="ID374317"/>
    <s v="CUSIP"/>
    <s v="Press Release"/>
    <x v="4"/>
    <x v="1"/>
    <s v="Announced"/>
  </r>
  <r>
    <d v="2025-08-19T00:00:00"/>
    <x v="3"/>
    <s v="Maple Finance"/>
    <x v="0"/>
    <s v="NASDAQ"/>
    <s v="Canada-NASDAQ"/>
    <x v="3"/>
    <s v="ID803365"/>
    <s v="ISIN"/>
    <s v="Regulatory Filing"/>
    <x v="4"/>
    <x v="2"/>
    <s v="Completed"/>
  </r>
  <r>
    <d v="2026-01-22T00:00:00"/>
    <x v="5"/>
    <s v="Crescent Utilities"/>
    <x v="1"/>
    <s v="NASDAQ"/>
    <s v="USA-NASDAQ"/>
    <x v="0"/>
    <s v="ID178846"/>
    <s v="ISIN"/>
    <s v="Press Release"/>
    <x v="6"/>
    <x v="0"/>
    <s v="Confirmed"/>
  </r>
  <r>
    <d v="2025-06-30T00:00:00"/>
    <x v="9"/>
    <s v="Quantum Pharma"/>
    <x v="0"/>
    <s v="NYSE"/>
    <s v="Canada-NYSE"/>
    <x v="3"/>
    <s v="ID918427"/>
    <s v="CUSIP"/>
    <s v="Press Release"/>
    <x v="2"/>
    <x v="1"/>
    <s v="Announced"/>
  </r>
  <r>
    <d v="2025-11-09T00:00:00"/>
    <x v="2"/>
    <s v="Pioneer Media"/>
    <x v="1"/>
    <s v="NYSE"/>
    <s v="USA-NYSE"/>
    <x v="5"/>
    <s v="ID657824"/>
    <s v="ISIN"/>
    <s v="Regulatory Filing"/>
    <x v="5"/>
    <x v="0"/>
    <s v="Announced"/>
  </r>
  <r>
    <d v="2025-10-22T00:00:00"/>
    <x v="4"/>
    <s v="NorthStar Tech"/>
    <x v="0"/>
    <s v="NYSE"/>
    <s v="Canada-NYSE"/>
    <x v="1"/>
    <s v="ID149688"/>
    <s v="CUSIP"/>
    <s v="Press Release"/>
    <x v="5"/>
    <x v="1"/>
    <s v="Confirmed"/>
  </r>
  <r>
    <d v="2025-10-19T00:00:00"/>
    <x v="4"/>
    <s v="BlueWave Logistics"/>
    <x v="0"/>
    <s v="NYSE"/>
    <s v="Canada-NYSE"/>
    <x v="0"/>
    <s v="ID731766"/>
    <s v="CUSIP"/>
    <s v="Exchange Announcement"/>
    <x v="3"/>
    <x v="0"/>
    <s v="Completed"/>
  </r>
  <r>
    <d v="2025-12-02T00:00:00"/>
    <x v="1"/>
    <s v="Silverline Industries"/>
    <x v="1"/>
    <s v="TSX"/>
    <s v="USA-TSX"/>
    <x v="5"/>
    <s v="ID183737"/>
    <s v="ISIN"/>
    <s v="Press Release"/>
    <x v="3"/>
    <x v="1"/>
    <s v="Announced"/>
  </r>
  <r>
    <d v="2025-06-27T00:00:00"/>
    <x v="9"/>
    <s v="NorthStar Tech"/>
    <x v="0"/>
    <s v="NASDAQ"/>
    <s v="Canada-NASDAQ"/>
    <x v="1"/>
    <s v="ID509533"/>
    <s v="CUSIP"/>
    <s v="Press Release"/>
    <x v="2"/>
    <x v="1"/>
    <s v="Confirmed"/>
  </r>
  <r>
    <d v="2025-08-10T00:00:00"/>
    <x v="3"/>
    <s v="Vertex Telecom"/>
    <x v="0"/>
    <s v="NYSE"/>
    <s v="Canada-NYSE"/>
    <x v="4"/>
    <s v="ID842899"/>
    <s v="SEDOL"/>
    <s v="Press Release"/>
    <x v="0"/>
    <x v="1"/>
    <s v="Completed"/>
  </r>
  <r>
    <d v="2025-07-29T00:00:00"/>
    <x v="0"/>
    <s v="Quantum Pharma"/>
    <x v="0"/>
    <s v="TSX"/>
    <s v="Canada-TSX"/>
    <x v="3"/>
    <s v="ID868141"/>
    <s v="ISIN"/>
    <s v="Regulatory Filing"/>
    <x v="0"/>
    <x v="1"/>
    <s v="Confirmed"/>
  </r>
  <r>
    <d v="2026-03-09T00:00:00"/>
    <x v="8"/>
    <s v="Summit Resources"/>
    <x v="0"/>
    <s v="TSX"/>
    <s v="Canada-TSX"/>
    <x v="3"/>
    <s v="ID674227"/>
    <s v="ISIN"/>
    <s v="Exchange Announcement"/>
    <x v="5"/>
    <x v="1"/>
    <s v="Announced"/>
  </r>
  <r>
    <d v="2026-02-10T00:00:00"/>
    <x v="11"/>
    <s v="Evergreen Foods"/>
    <x v="0"/>
    <s v="NASDAQ"/>
    <s v="Canada-NASDAQ"/>
    <x v="2"/>
    <s v="ID861368"/>
    <s v="ISIN"/>
    <s v="Exchange Announcement"/>
    <x v="6"/>
    <x v="0"/>
    <s v="Completed"/>
  </r>
  <r>
    <d v="2025-08-14T00:00:00"/>
    <x v="3"/>
    <s v="Evergreen Foods"/>
    <x v="1"/>
    <s v="TSX"/>
    <s v="USA-TSX"/>
    <x v="4"/>
    <s v="ID565518"/>
    <s v="SEDOL"/>
    <s v="Press Release"/>
    <x v="6"/>
    <x v="1"/>
    <s v="Completed"/>
  </r>
  <r>
    <d v="2025-05-07T00:00:00"/>
    <x v="6"/>
    <s v="NorthStar Tech"/>
    <x v="1"/>
    <s v="NASDAQ"/>
    <s v="USA-NASDAQ"/>
    <x v="5"/>
    <s v="ID362063"/>
    <s v="ISIN"/>
    <s v="Exchange Announcement"/>
    <x v="4"/>
    <x v="1"/>
    <s v="Announced"/>
  </r>
  <r>
    <d v="2025-11-22T00:00:00"/>
    <x v="2"/>
    <s v="Crescent Utilities"/>
    <x v="1"/>
    <s v="TSX"/>
    <s v="USA-TSX"/>
    <x v="5"/>
    <s v="ID538446"/>
    <s v="CUSIP"/>
    <s v="Exchange Announcement"/>
    <x v="3"/>
    <x v="0"/>
    <s v="Confirmed"/>
  </r>
  <r>
    <d v="2025-10-13T00:00:00"/>
    <x v="4"/>
    <s v="Quantum Pharma"/>
    <x v="1"/>
    <s v="TSX"/>
    <s v="USA-TSX"/>
    <x v="4"/>
    <s v="ID170240"/>
    <s v="CUSIP"/>
    <s v="Exchange Announcement"/>
    <x v="0"/>
    <x v="1"/>
    <s v="Announced"/>
  </r>
  <r>
    <d v="2025-11-15T00:00:00"/>
    <x v="2"/>
    <s v="Nova Materials"/>
    <x v="1"/>
    <s v="NYSE"/>
    <s v="USA-NYSE"/>
    <x v="0"/>
    <s v="ID953020"/>
    <s v="ISIN"/>
    <s v="Regulatory Filing"/>
    <x v="3"/>
    <x v="2"/>
    <s v="Completed"/>
  </r>
  <r>
    <d v="2026-03-13T00:00:00"/>
    <x v="8"/>
    <s v="Evergreen Foods"/>
    <x v="0"/>
    <s v="NASDAQ"/>
    <s v="Canada-NASDAQ"/>
    <x v="1"/>
    <s v="ID561248"/>
    <s v="SEDOL"/>
    <s v="Regulatory Filing"/>
    <x v="6"/>
    <x v="0"/>
    <s v="Confirmed"/>
  </r>
  <r>
    <d v="2025-06-04T00:00:00"/>
    <x v="9"/>
    <s v="Silverline Industries"/>
    <x v="0"/>
    <s v="NYSE"/>
    <s v="Canada-NYSE"/>
    <x v="3"/>
    <s v="ID398587"/>
    <s v="ISIN"/>
    <s v="Press Release"/>
    <x v="1"/>
    <x v="0"/>
    <s v="Confirmed"/>
  </r>
  <r>
    <d v="2026-01-30T00:00:00"/>
    <x v="5"/>
    <s v="NorthStar Tech"/>
    <x v="1"/>
    <s v="TSX"/>
    <s v="USA-TSX"/>
    <x v="4"/>
    <s v="ID705943"/>
    <s v="ISIN"/>
    <s v="Press Release"/>
    <x v="1"/>
    <x v="0"/>
    <s v="Announced"/>
  </r>
  <r>
    <d v="2026-02-20T00:00:00"/>
    <x v="11"/>
    <s v="Maple Finance"/>
    <x v="0"/>
    <s v="NYSE"/>
    <s v="Canada-NYSE"/>
    <x v="0"/>
    <s v="ID336274"/>
    <s v="ISIN"/>
    <s v="Press Release"/>
    <x v="3"/>
    <x v="1"/>
    <s v="Completed"/>
  </r>
  <r>
    <d v="2026-02-16T00:00:00"/>
    <x v="11"/>
    <s v="Pacific Motors"/>
    <x v="0"/>
    <s v="NASDAQ"/>
    <s v="Canada-NASDAQ"/>
    <x v="2"/>
    <s v="ID749364"/>
    <s v="CUSIP"/>
    <s v="Regulatory Filing"/>
    <x v="1"/>
    <x v="2"/>
    <s v="Announced"/>
  </r>
  <r>
    <d v="2025-10-08T00:00:00"/>
    <x v="4"/>
    <s v="Summit Resources"/>
    <x v="1"/>
    <s v="TSX"/>
    <s v="USA-TSX"/>
    <x v="4"/>
    <s v="ID817576"/>
    <s v="SEDOL"/>
    <s v="Regulatory Filing"/>
    <x v="1"/>
    <x v="2"/>
    <s v="Completed"/>
  </r>
  <r>
    <d v="2025-05-01T00:00:00"/>
    <x v="6"/>
    <s v="Global Retail Corp"/>
    <x v="0"/>
    <s v="TSX"/>
    <s v="Canada-TSX"/>
    <x v="2"/>
    <s v="ID719676"/>
    <s v="SEDOL"/>
    <s v="Press Release"/>
    <x v="0"/>
    <x v="2"/>
    <s v="Completed"/>
  </r>
  <r>
    <d v="2025-06-05T00:00:00"/>
    <x v="9"/>
    <s v="BlueWave Logistics"/>
    <x v="0"/>
    <s v="NYSE"/>
    <s v="Canada-NYSE"/>
    <x v="3"/>
    <s v="ID421342"/>
    <s v="SEDOL"/>
    <s v="Exchange Announcement"/>
    <x v="3"/>
    <x v="0"/>
    <s v="Confirmed"/>
  </r>
  <r>
    <d v="2025-09-01T00:00:00"/>
    <x v="7"/>
    <s v="Summit Resources"/>
    <x v="1"/>
    <s v="NASDAQ"/>
    <s v="USA-NASDAQ"/>
    <x v="5"/>
    <s v="ID247152"/>
    <s v="CUSIP"/>
    <s v="Press Release"/>
    <x v="3"/>
    <x v="0"/>
    <s v="Completed"/>
  </r>
  <r>
    <d v="2025-05-28T00:00:00"/>
    <x v="6"/>
    <s v="Quantum Pharma"/>
    <x v="1"/>
    <s v="TSX"/>
    <s v="USA-TSX"/>
    <x v="2"/>
    <s v="ID419412"/>
    <s v="CUSIP"/>
    <s v="Exchange Announcement"/>
    <x v="2"/>
    <x v="1"/>
    <s v="Confirmed"/>
  </r>
  <r>
    <d v="2026-02-24T00:00:00"/>
    <x v="11"/>
    <s v="Pioneer Media"/>
    <x v="0"/>
    <s v="NASDAQ"/>
    <s v="Canada-NASDAQ"/>
    <x v="2"/>
    <s v="ID366014"/>
    <s v="CUSIP"/>
    <s v="Press Release"/>
    <x v="3"/>
    <x v="1"/>
    <s v="Announced"/>
  </r>
  <r>
    <d v="2025-06-01T00:00:00"/>
    <x v="9"/>
    <s v="NorthStar Tech"/>
    <x v="1"/>
    <s v="NASDAQ"/>
    <s v="USA-NASDAQ"/>
    <x v="0"/>
    <s v="ID100877"/>
    <s v="SEDOL"/>
    <s v="Press Release"/>
    <x v="1"/>
    <x v="0"/>
    <s v="Confirmed"/>
  </r>
  <r>
    <d v="2026-01-03T00:00:00"/>
    <x v="5"/>
    <s v="Quantum Pharma"/>
    <x v="0"/>
    <s v="TSX"/>
    <s v="Canada-TSX"/>
    <x v="4"/>
    <s v="ID535562"/>
    <s v="SEDOL"/>
    <s v="Press Release"/>
    <x v="1"/>
    <x v="2"/>
    <s v="Completed"/>
  </r>
  <r>
    <d v="2025-04-23T00:00:00"/>
    <x v="10"/>
    <s v="Crescent Utilities"/>
    <x v="1"/>
    <s v="NASDAQ"/>
    <s v="USA-NASDAQ"/>
    <x v="3"/>
    <s v="ID648183"/>
    <s v="CUSIP"/>
    <s v="Regulatory Filing"/>
    <x v="2"/>
    <x v="1"/>
    <s v="Announced"/>
  </r>
  <r>
    <d v="2026-02-06T00:00:00"/>
    <x v="11"/>
    <s v="Pacific Motors"/>
    <x v="0"/>
    <s v="TSX"/>
    <s v="Canada-TSX"/>
    <x v="3"/>
    <s v="ID491249"/>
    <s v="CUSIP"/>
    <s v="Exchange Announcement"/>
    <x v="3"/>
    <x v="1"/>
    <s v="Announced"/>
  </r>
  <r>
    <d v="2025-09-27T00:00:00"/>
    <x v="7"/>
    <s v="BlueWave Logistics"/>
    <x v="1"/>
    <s v="NYSE"/>
    <s v="USA-NYSE"/>
    <x v="4"/>
    <s v="ID440105"/>
    <s v="SEDOL"/>
    <s v="Press Release"/>
    <x v="2"/>
    <x v="2"/>
    <s v="Completed"/>
  </r>
  <r>
    <d v="2026-02-23T00:00:00"/>
    <x v="11"/>
    <s v="Silverline Industries"/>
    <x v="1"/>
    <s v="NYSE"/>
    <s v="USA-NYSE"/>
    <x v="4"/>
    <s v="ID653324"/>
    <s v="ISIN"/>
    <s v="Exchange Announcement"/>
    <x v="1"/>
    <x v="0"/>
    <s v="Completed"/>
  </r>
  <r>
    <d v="2025-09-24T00:00:00"/>
    <x v="7"/>
    <s v="Crescent Utilities"/>
    <x v="0"/>
    <s v="NYSE"/>
    <s v="Canada-NYSE"/>
    <x v="5"/>
    <s v="ID838081"/>
    <s v="SEDOL"/>
    <s v="Press Release"/>
    <x v="4"/>
    <x v="0"/>
    <s v="Confirmed"/>
  </r>
  <r>
    <d v="2026-01-11T00:00:00"/>
    <x v="5"/>
    <s v="Evergreen Foods"/>
    <x v="1"/>
    <s v="NYSE"/>
    <s v="USA-NYSE"/>
    <x v="5"/>
    <s v="ID518513"/>
    <s v="SEDOL"/>
    <s v="Exchange Announcement"/>
    <x v="0"/>
    <x v="1"/>
    <s v="Confirmed"/>
  </r>
  <r>
    <d v="2025-09-21T00:00:00"/>
    <x v="7"/>
    <s v="Quantum Pharma"/>
    <x v="1"/>
    <s v="NYSE"/>
    <s v="USA-NYSE"/>
    <x v="0"/>
    <s v="ID747385"/>
    <s v="SEDOL"/>
    <s v="Regulatory Filing"/>
    <x v="3"/>
    <x v="0"/>
    <s v="Announced"/>
  </r>
  <r>
    <d v="2025-04-15T00:00:00"/>
    <x v="10"/>
    <s v="Vertex Telecom"/>
    <x v="1"/>
    <s v="TSX"/>
    <s v="USA-TSX"/>
    <x v="4"/>
    <s v="ID337540"/>
    <s v="ISIN"/>
    <s v="Regulatory Filing"/>
    <x v="5"/>
    <x v="0"/>
    <s v="Confirmed"/>
  </r>
  <r>
    <d v="2025-08-17T00:00:00"/>
    <x v="3"/>
    <s v="Pacific Motors"/>
    <x v="1"/>
    <s v="NYSE"/>
    <s v="USA-NYSE"/>
    <x v="2"/>
    <s v="ID819923"/>
    <s v="ISIN"/>
    <s v="Exchange Announcement"/>
    <x v="1"/>
    <x v="1"/>
    <s v="Announced"/>
  </r>
  <r>
    <d v="2025-10-23T00:00:00"/>
    <x v="4"/>
    <s v="BlueWave Logistics"/>
    <x v="1"/>
    <s v="NYSE"/>
    <s v="USA-NYSE"/>
    <x v="2"/>
    <s v="ID973962"/>
    <s v="ISIN"/>
    <s v="Exchange Announcement"/>
    <x v="0"/>
    <x v="1"/>
    <s v="Announced"/>
  </r>
  <r>
    <d v="2025-08-28T00:00:00"/>
    <x v="3"/>
    <s v="Pacific Motors"/>
    <x v="0"/>
    <s v="TSX"/>
    <s v="Canada-TSX"/>
    <x v="2"/>
    <s v="ID770091"/>
    <s v="CUSIP"/>
    <s v="Press Release"/>
    <x v="4"/>
    <x v="1"/>
    <s v="Confirmed"/>
  </r>
  <r>
    <d v="2025-08-06T00:00:00"/>
    <x v="3"/>
    <s v="Pacific Motors"/>
    <x v="1"/>
    <s v="TSX"/>
    <s v="USA-TSX"/>
    <x v="5"/>
    <s v="ID438501"/>
    <s v="SEDOL"/>
    <s v="Exchange Announcement"/>
    <x v="4"/>
    <x v="0"/>
    <s v="Announced"/>
  </r>
  <r>
    <d v="2025-04-26T00:00:00"/>
    <x v="10"/>
    <s v="Orion Aerospace"/>
    <x v="1"/>
    <s v="TSX"/>
    <s v="USA-TSX"/>
    <x v="4"/>
    <s v="ID828903"/>
    <s v="ISIN"/>
    <s v="Exchange Announcement"/>
    <x v="2"/>
    <x v="2"/>
    <s v="Announced"/>
  </r>
  <r>
    <d v="2026-01-30T00:00:00"/>
    <x v="5"/>
    <s v="Quantum Pharma"/>
    <x v="0"/>
    <s v="NYSE"/>
    <s v="Canada-NYSE"/>
    <x v="2"/>
    <s v="ID689819"/>
    <s v="CUSIP"/>
    <s v="Regulatory Filing"/>
    <x v="4"/>
    <x v="0"/>
    <s v="Completed"/>
  </r>
  <r>
    <d v="2025-08-23T00:00:00"/>
    <x v="3"/>
    <s v="Maple Finance"/>
    <x v="0"/>
    <s v="NYSE"/>
    <s v="Canada-NYSE"/>
    <x v="1"/>
    <s v="ID836351"/>
    <s v="CUSIP"/>
    <s v="Regulatory Filing"/>
    <x v="1"/>
    <x v="0"/>
    <s v="Confirmed"/>
  </r>
  <r>
    <d v="2025-08-18T00:00:00"/>
    <x v="3"/>
    <s v="Maple Finance"/>
    <x v="0"/>
    <s v="TSX"/>
    <s v="Canada-TSX"/>
    <x v="0"/>
    <s v="ID587502"/>
    <s v="ISIN"/>
    <s v="Press Release"/>
    <x v="5"/>
    <x v="0"/>
    <s v="Announced"/>
  </r>
  <r>
    <d v="2025-10-30T00:00:00"/>
    <x v="4"/>
    <s v="BlueWave Logistics"/>
    <x v="1"/>
    <s v="NASDAQ"/>
    <s v="USA-NASDAQ"/>
    <x v="4"/>
    <s v="ID840716"/>
    <s v="SEDOL"/>
    <s v="Exchange Announcement"/>
    <x v="3"/>
    <x v="0"/>
    <s v="Completed"/>
  </r>
  <r>
    <d v="2025-10-23T00:00:00"/>
    <x v="4"/>
    <s v="Evergreen Foods"/>
    <x v="0"/>
    <s v="NASDAQ"/>
    <s v="Canada-NASDAQ"/>
    <x v="0"/>
    <s v="ID695589"/>
    <s v="ISIN"/>
    <s v="Regulatory Filing"/>
    <x v="6"/>
    <x v="0"/>
    <s v="Announced"/>
  </r>
  <r>
    <d v="2025-10-12T00:00:00"/>
    <x v="4"/>
    <s v="Silverline Industries"/>
    <x v="1"/>
    <s v="TSX"/>
    <s v="USA-TSX"/>
    <x v="1"/>
    <s v="ID705550"/>
    <s v="ISIN"/>
    <s v="Press Release"/>
    <x v="2"/>
    <x v="0"/>
    <s v="Completed"/>
  </r>
  <r>
    <d v="2025-05-22T00:00:00"/>
    <x v="6"/>
    <s v="Pioneer Media"/>
    <x v="1"/>
    <s v="NYSE"/>
    <s v="USA-NYSE"/>
    <x v="3"/>
    <s v="ID630350"/>
    <s v="CUSIP"/>
    <s v="Regulatory Filing"/>
    <x v="6"/>
    <x v="0"/>
    <s v="Confirmed"/>
  </r>
  <r>
    <d v="2025-06-02T00:00:00"/>
    <x v="9"/>
    <s v="Orion Aerospace"/>
    <x v="1"/>
    <s v="TSX"/>
    <s v="USA-TSX"/>
    <x v="3"/>
    <s v="ID812760"/>
    <s v="ISIN"/>
    <s v="Exchange Announcement"/>
    <x v="1"/>
    <x v="0"/>
    <s v="Confirmed"/>
  </r>
  <r>
    <d v="2025-05-23T00:00:00"/>
    <x v="6"/>
    <s v="BlueWave Logistics"/>
    <x v="0"/>
    <s v="NYSE"/>
    <s v="Canada-NYSE"/>
    <x v="2"/>
    <s v="ID829790"/>
    <s v="ISIN"/>
    <s v="Press Release"/>
    <x v="1"/>
    <x v="0"/>
    <s v="Completed"/>
  </r>
  <r>
    <d v="2025-06-06T00:00:00"/>
    <x v="9"/>
    <s v="Global Retail Corp"/>
    <x v="0"/>
    <s v="NASDAQ"/>
    <s v="Canada-NASDAQ"/>
    <x v="4"/>
    <s v="ID518548"/>
    <s v="CUSIP"/>
    <s v="Press Release"/>
    <x v="0"/>
    <x v="0"/>
    <s v="Completed"/>
  </r>
  <r>
    <d v="2025-04-11T00:00:00"/>
    <x v="10"/>
    <s v="Silverline Industries"/>
    <x v="0"/>
    <s v="NYSE"/>
    <s v="Canada-NYSE"/>
    <x v="1"/>
    <s v="ID190473"/>
    <s v="CUSIP"/>
    <s v="Regulatory Filing"/>
    <x v="6"/>
    <x v="0"/>
    <s v="Completed"/>
  </r>
  <r>
    <d v="2025-08-01T00:00:00"/>
    <x v="3"/>
    <s v="Crescent Utilities"/>
    <x v="1"/>
    <s v="TSX"/>
    <s v="USA-TSX"/>
    <x v="4"/>
    <s v="ID403869"/>
    <s v="CUSIP"/>
    <s v="Exchange Announcement"/>
    <x v="1"/>
    <x v="0"/>
    <s v="Announced"/>
  </r>
  <r>
    <d v="2025-10-22T00:00:00"/>
    <x v="4"/>
    <s v="Nova Materials"/>
    <x v="0"/>
    <s v="NASDAQ"/>
    <s v="Canada-NASDAQ"/>
    <x v="0"/>
    <s v="ID447639"/>
    <s v="ISIN"/>
    <s v="Exchange Announcement"/>
    <x v="1"/>
    <x v="2"/>
    <s v="Confirmed"/>
  </r>
  <r>
    <d v="2026-02-06T00:00:00"/>
    <x v="11"/>
    <s v="Maple Finance"/>
    <x v="1"/>
    <s v="TSX"/>
    <s v="USA-TSX"/>
    <x v="1"/>
    <s v="ID278287"/>
    <s v="SEDOL"/>
    <s v="Press Release"/>
    <x v="6"/>
    <x v="1"/>
    <s v="Completed"/>
  </r>
  <r>
    <d v="2025-07-10T00:00:00"/>
    <x v="0"/>
    <s v="Global Retail Corp"/>
    <x v="1"/>
    <s v="NASDAQ"/>
    <s v="USA-NASDAQ"/>
    <x v="2"/>
    <s v="ID145729"/>
    <s v="ISIN"/>
    <s v="Regulatory Filing"/>
    <x v="3"/>
    <x v="0"/>
    <s v="Announced"/>
  </r>
  <r>
    <d v="2026-01-13T00:00:00"/>
    <x v="5"/>
    <s v="Summit Resources"/>
    <x v="1"/>
    <s v="NASDAQ"/>
    <s v="USA-NASDAQ"/>
    <x v="1"/>
    <s v="ID249203"/>
    <s v="CUSIP"/>
    <s v="Press Release"/>
    <x v="6"/>
    <x v="2"/>
    <s v="Completed"/>
  </r>
  <r>
    <d v="2025-05-17T00:00:00"/>
    <x v="6"/>
    <s v="Vertex Telecom"/>
    <x v="0"/>
    <s v="NASDAQ"/>
    <s v="Canada-NASDAQ"/>
    <x v="4"/>
    <s v="ID368811"/>
    <s v="SEDOL"/>
    <s v="Press Release"/>
    <x v="5"/>
    <x v="0"/>
    <s v="Confirmed"/>
  </r>
  <r>
    <d v="2025-10-30T00:00:00"/>
    <x v="4"/>
    <s v="Evergreen Foods"/>
    <x v="0"/>
    <s v="TSX"/>
    <s v="Canada-TSX"/>
    <x v="4"/>
    <s v="ID671385"/>
    <s v="SEDOL"/>
    <s v="Regulatory Filing"/>
    <x v="1"/>
    <x v="1"/>
    <s v="Announced"/>
  </r>
  <r>
    <d v="2025-04-04T00:00:00"/>
    <x v="10"/>
    <s v="Nova Materials"/>
    <x v="0"/>
    <s v="NYSE"/>
    <s v="Canada-NYSE"/>
    <x v="1"/>
    <s v="ID630871"/>
    <s v="SEDOL"/>
    <s v="Exchange Announcement"/>
    <x v="0"/>
    <x v="2"/>
    <s v="Announced"/>
  </r>
  <r>
    <d v="2025-04-25T00:00:00"/>
    <x v="10"/>
    <s v="Vertex Telecom"/>
    <x v="0"/>
    <s v="NASDAQ"/>
    <s v="Canada-NASDAQ"/>
    <x v="2"/>
    <s v="ID270201"/>
    <s v="SEDOL"/>
    <s v="Press Release"/>
    <x v="2"/>
    <x v="1"/>
    <s v="Announced"/>
  </r>
  <r>
    <d v="2026-01-19T00:00:00"/>
    <x v="5"/>
    <s v="BlueWave Logistics"/>
    <x v="0"/>
    <s v="TSX"/>
    <s v="Canada-TSX"/>
    <x v="4"/>
    <s v="ID571354"/>
    <s v="ISIN"/>
    <s v="Regulatory Filing"/>
    <x v="1"/>
    <x v="2"/>
    <s v="Announced"/>
  </r>
  <r>
    <d v="2025-12-03T00:00:00"/>
    <x v="1"/>
    <s v="Summit Resources"/>
    <x v="0"/>
    <s v="NYSE"/>
    <s v="Canada-NYSE"/>
    <x v="3"/>
    <s v="ID227438"/>
    <s v="CUSIP"/>
    <s v="Regulatory Filing"/>
    <x v="3"/>
    <x v="1"/>
    <s v="Announced"/>
  </r>
  <r>
    <d v="2025-04-22T00:00:00"/>
    <x v="10"/>
    <s v="Evergreen Foods"/>
    <x v="0"/>
    <s v="NASDAQ"/>
    <s v="Canada-NASDAQ"/>
    <x v="2"/>
    <s v="ID355478"/>
    <s v="ISIN"/>
    <s v="Regulatory Filing"/>
    <x v="3"/>
    <x v="0"/>
    <s v="Confirmed"/>
  </r>
  <r>
    <d v="2025-04-20T00:00:00"/>
    <x v="10"/>
    <s v="Orion Aerospace"/>
    <x v="1"/>
    <s v="TSX"/>
    <s v="USA-TSX"/>
    <x v="5"/>
    <s v="ID912046"/>
    <s v="CUSIP"/>
    <s v="Regulatory Filing"/>
    <x v="0"/>
    <x v="0"/>
    <s v="Confirmed"/>
  </r>
  <r>
    <d v="2025-07-03T00:00:00"/>
    <x v="0"/>
    <s v="Silverline Industries"/>
    <x v="0"/>
    <s v="NASDAQ"/>
    <s v="Canada-NASDAQ"/>
    <x v="2"/>
    <s v="ID302314"/>
    <s v="SEDOL"/>
    <s v="Regulatory Filing"/>
    <x v="1"/>
    <x v="1"/>
    <s v="Confirmed"/>
  </r>
  <r>
    <d v="2025-07-11T00:00:00"/>
    <x v="0"/>
    <s v="Maple Finance"/>
    <x v="1"/>
    <s v="NYSE"/>
    <s v="USA-NYSE"/>
    <x v="0"/>
    <s v="ID295610"/>
    <s v="SEDOL"/>
    <s v="Exchange Announcement"/>
    <x v="4"/>
    <x v="2"/>
    <s v="Confirmed"/>
  </r>
  <r>
    <d v="2025-11-15T00:00:00"/>
    <x v="2"/>
    <s v="Pacific Motors"/>
    <x v="0"/>
    <s v="TSX"/>
    <s v="Canada-TSX"/>
    <x v="2"/>
    <s v="ID992545"/>
    <s v="SEDOL"/>
    <s v="Press Release"/>
    <x v="5"/>
    <x v="0"/>
    <s v="Confirmed"/>
  </r>
  <r>
    <d v="2026-02-16T00:00:00"/>
    <x v="11"/>
    <s v="NorthStar Tech"/>
    <x v="1"/>
    <s v="NYSE"/>
    <s v="USA-NYSE"/>
    <x v="5"/>
    <s v="ID555991"/>
    <s v="SEDOL"/>
    <s v="Exchange Announcement"/>
    <x v="5"/>
    <x v="1"/>
    <s v="Completed"/>
  </r>
  <r>
    <d v="2025-04-07T00:00:00"/>
    <x v="10"/>
    <s v="NorthStar Tech"/>
    <x v="1"/>
    <s v="NASDAQ"/>
    <s v="USA-NASDAQ"/>
    <x v="3"/>
    <s v="ID970841"/>
    <s v="CUSIP"/>
    <s v="Exchange Announcement"/>
    <x v="0"/>
    <x v="2"/>
    <s v="Announced"/>
  </r>
  <r>
    <d v="2025-07-05T00:00:00"/>
    <x v="0"/>
    <s v="Pacific Motors"/>
    <x v="0"/>
    <s v="NYSE"/>
    <s v="Canada-NYSE"/>
    <x v="1"/>
    <s v="ID154342"/>
    <s v="CUSIP"/>
    <s v="Regulatory Filing"/>
    <x v="1"/>
    <x v="2"/>
    <s v="Announced"/>
  </r>
  <r>
    <d v="2025-10-01T00:00:00"/>
    <x v="4"/>
    <s v="Quantum Pharma"/>
    <x v="1"/>
    <s v="TSX"/>
    <s v="USA-TSX"/>
    <x v="3"/>
    <s v="ID150353"/>
    <s v="SEDOL"/>
    <s v="Regulatory Filing"/>
    <x v="4"/>
    <x v="2"/>
    <s v="Announced"/>
  </r>
  <r>
    <d v="2025-06-25T00:00:00"/>
    <x v="9"/>
    <s v="Pioneer Media"/>
    <x v="1"/>
    <s v="TSX"/>
    <s v="USA-TSX"/>
    <x v="3"/>
    <s v="ID631486"/>
    <s v="SEDOL"/>
    <s v="Press Release"/>
    <x v="6"/>
    <x v="1"/>
    <s v="Confirmed"/>
  </r>
  <r>
    <d v="2026-01-15T00:00:00"/>
    <x v="5"/>
    <s v="Alpha Energy"/>
    <x v="1"/>
    <s v="TSX"/>
    <s v="USA-TSX"/>
    <x v="1"/>
    <s v="ID916068"/>
    <s v="CUSIP"/>
    <s v="Exchange Announcement"/>
    <x v="4"/>
    <x v="2"/>
    <s v="Completed"/>
  </r>
  <r>
    <d v="2025-08-01T00:00:00"/>
    <x v="3"/>
    <s v="Crescent Utilities"/>
    <x v="0"/>
    <s v="TSX"/>
    <s v="Canada-TSX"/>
    <x v="2"/>
    <s v="ID257263"/>
    <s v="SEDOL"/>
    <s v="Regulatory Filing"/>
    <x v="0"/>
    <x v="0"/>
    <s v="Announced"/>
  </r>
  <r>
    <d v="2025-12-09T00:00:00"/>
    <x v="1"/>
    <s v="NorthStar Tech"/>
    <x v="0"/>
    <s v="TSX"/>
    <s v="Canada-TSX"/>
    <x v="5"/>
    <s v="ID462152"/>
    <s v="CUSIP"/>
    <s v="Regulatory Filing"/>
    <x v="0"/>
    <x v="2"/>
    <s v="Announced"/>
  </r>
  <r>
    <d v="2025-05-11T00:00:00"/>
    <x v="6"/>
    <s v="Vertex Telecom"/>
    <x v="0"/>
    <s v="NYSE"/>
    <s v="Canada-NYSE"/>
    <x v="2"/>
    <s v="ID442237"/>
    <s v="ISIN"/>
    <s v="Exchange Announcement"/>
    <x v="1"/>
    <x v="1"/>
    <s v="Completed"/>
  </r>
  <r>
    <d v="2026-01-16T00:00:00"/>
    <x v="5"/>
    <s v="Vertex Telecom"/>
    <x v="1"/>
    <s v="NYSE"/>
    <s v="USA-NYSE"/>
    <x v="1"/>
    <s v="ID750724"/>
    <s v="SEDOL"/>
    <s v="Regulatory Filing"/>
    <x v="2"/>
    <x v="1"/>
    <s v="Announced"/>
  </r>
  <r>
    <d v="2025-10-11T00:00:00"/>
    <x v="4"/>
    <s v="Nova Materials"/>
    <x v="1"/>
    <s v="NYSE"/>
    <s v="USA-NYSE"/>
    <x v="1"/>
    <s v="ID545448"/>
    <s v="CUSIP"/>
    <s v="Exchange Announcement"/>
    <x v="4"/>
    <x v="2"/>
    <s v="Announced"/>
  </r>
  <r>
    <d v="2025-10-09T00:00:00"/>
    <x v="4"/>
    <s v="Quantum Pharma"/>
    <x v="1"/>
    <s v="NASDAQ"/>
    <s v="USA-NASDAQ"/>
    <x v="2"/>
    <s v="ID570166"/>
    <s v="SEDOL"/>
    <s v="Exchange Announcement"/>
    <x v="1"/>
    <x v="1"/>
    <s v="Announced"/>
  </r>
  <r>
    <d v="2026-03-14T00:00:00"/>
    <x v="8"/>
    <s v="Summit Resources"/>
    <x v="1"/>
    <s v="NASDAQ"/>
    <s v="USA-NASDAQ"/>
    <x v="5"/>
    <s v="ID843886"/>
    <s v="SEDOL"/>
    <s v="Exchange Announcement"/>
    <x v="6"/>
    <x v="0"/>
    <s v="Announced"/>
  </r>
  <r>
    <d v="2025-05-17T00:00:00"/>
    <x v="6"/>
    <s v="Alpha Energy"/>
    <x v="0"/>
    <s v="NYSE"/>
    <s v="Canada-NYSE"/>
    <x v="0"/>
    <s v="ID463393"/>
    <s v="ISIN"/>
    <s v="Regulatory Filing"/>
    <x v="3"/>
    <x v="2"/>
    <s v="Announced"/>
  </r>
  <r>
    <d v="2025-07-10T00:00:00"/>
    <x v="0"/>
    <s v="Silverline Industries"/>
    <x v="0"/>
    <s v="TSX"/>
    <s v="Canada-TSX"/>
    <x v="2"/>
    <s v="ID900820"/>
    <s v="SEDOL"/>
    <s v="Regulatory Filing"/>
    <x v="5"/>
    <x v="0"/>
    <s v="Completed"/>
  </r>
  <r>
    <d v="2025-06-24T00:00:00"/>
    <x v="9"/>
    <s v="Summit Resources"/>
    <x v="0"/>
    <s v="TSX"/>
    <s v="Canada-TSX"/>
    <x v="3"/>
    <s v="ID304876"/>
    <s v="ISIN"/>
    <s v="Press Release"/>
    <x v="1"/>
    <x v="1"/>
    <s v="Confirmed"/>
  </r>
  <r>
    <d v="2026-02-11T00:00:00"/>
    <x v="11"/>
    <s v="Silverline Industries"/>
    <x v="0"/>
    <s v="NYSE"/>
    <s v="Canada-NYSE"/>
    <x v="1"/>
    <s v="ID364933"/>
    <s v="SEDOL"/>
    <s v="Regulatory Filing"/>
    <x v="6"/>
    <x v="2"/>
    <s v="Announced"/>
  </r>
  <r>
    <d v="2025-10-23T00:00:00"/>
    <x v="4"/>
    <s v="Maple Finance"/>
    <x v="0"/>
    <s v="NYSE"/>
    <s v="Canada-NYSE"/>
    <x v="0"/>
    <s v="ID443612"/>
    <s v="CUSIP"/>
    <s v="Regulatory Filing"/>
    <x v="0"/>
    <x v="1"/>
    <s v="Announced"/>
  </r>
  <r>
    <d v="2025-11-22T00:00:00"/>
    <x v="2"/>
    <s v="BlueWave Logistics"/>
    <x v="0"/>
    <s v="NYSE"/>
    <s v="Canada-NYSE"/>
    <x v="1"/>
    <s v="ID850727"/>
    <s v="SEDOL"/>
    <s v="Press Release"/>
    <x v="5"/>
    <x v="1"/>
    <s v="Announced"/>
  </r>
  <r>
    <d v="2026-02-22T00:00:00"/>
    <x v="11"/>
    <s v="Silverline Industries"/>
    <x v="1"/>
    <s v="NASDAQ"/>
    <s v="USA-NASDAQ"/>
    <x v="5"/>
    <s v="ID292188"/>
    <s v="CUSIP"/>
    <s v="Press Release"/>
    <x v="0"/>
    <x v="2"/>
    <s v="Confirmed"/>
  </r>
  <r>
    <d v="2025-06-25T00:00:00"/>
    <x v="9"/>
    <s v="Evergreen Foods"/>
    <x v="0"/>
    <s v="NASDAQ"/>
    <s v="Canada-NASDAQ"/>
    <x v="0"/>
    <s v="ID155769"/>
    <s v="SEDOL"/>
    <s v="Press Release"/>
    <x v="0"/>
    <x v="2"/>
    <s v="Confirmed"/>
  </r>
  <r>
    <d v="2025-06-22T00:00:00"/>
    <x v="9"/>
    <s v="Evergreen Foods"/>
    <x v="0"/>
    <s v="NASDAQ"/>
    <s v="Canada-NASDAQ"/>
    <x v="5"/>
    <s v="ID539041"/>
    <s v="SEDOL"/>
    <s v="Press Release"/>
    <x v="3"/>
    <x v="2"/>
    <s v="Announced"/>
  </r>
  <r>
    <d v="2025-10-14T00:00:00"/>
    <x v="4"/>
    <s v="Global Retail Corp"/>
    <x v="0"/>
    <s v="TSX"/>
    <s v="Canada-TSX"/>
    <x v="3"/>
    <s v="ID365893"/>
    <s v="CUSIP"/>
    <s v="Exchange Announcement"/>
    <x v="3"/>
    <x v="2"/>
    <s v="Completed"/>
  </r>
  <r>
    <d v="2025-08-04T00:00:00"/>
    <x v="3"/>
    <s v="Summit Resources"/>
    <x v="1"/>
    <s v="TSX"/>
    <s v="USA-TSX"/>
    <x v="5"/>
    <s v="ID879053"/>
    <s v="CUSIP"/>
    <s v="Regulatory Filing"/>
    <x v="2"/>
    <x v="0"/>
    <s v="Confirmed"/>
  </r>
  <r>
    <d v="2026-03-16T00:00:00"/>
    <x v="8"/>
    <s v="Pioneer Media"/>
    <x v="1"/>
    <s v="TSX"/>
    <s v="USA-TSX"/>
    <x v="3"/>
    <s v="ID186151"/>
    <s v="SEDOL"/>
    <s v="Regulatory Filing"/>
    <x v="2"/>
    <x v="0"/>
    <s v="Announced"/>
  </r>
  <r>
    <d v="2026-03-15T00:00:00"/>
    <x v="8"/>
    <s v="Vertex Telecom"/>
    <x v="1"/>
    <s v="NYSE"/>
    <s v="USA-NYSE"/>
    <x v="0"/>
    <s v="ID737207"/>
    <s v="CUSIP"/>
    <s v="Regulatory Filing"/>
    <x v="0"/>
    <x v="2"/>
    <s v="Announced"/>
  </r>
  <r>
    <d v="2025-10-19T00:00:00"/>
    <x v="4"/>
    <s v="Crescent Utilities"/>
    <x v="0"/>
    <s v="NYSE"/>
    <s v="Canada-NYSE"/>
    <x v="3"/>
    <s v="ID442282"/>
    <s v="SEDOL"/>
    <s v="Exchange Announcement"/>
    <x v="5"/>
    <x v="1"/>
    <s v="Completed"/>
  </r>
  <r>
    <d v="2026-01-12T00:00:00"/>
    <x v="5"/>
    <s v="Maple Finance"/>
    <x v="0"/>
    <s v="NYSE"/>
    <s v="Canada-NYSE"/>
    <x v="4"/>
    <s v="ID261108"/>
    <s v="CUSIP"/>
    <s v="Regulatory Filing"/>
    <x v="6"/>
    <x v="0"/>
    <s v="Announced"/>
  </r>
  <r>
    <d v="2025-11-14T00:00:00"/>
    <x v="2"/>
    <s v="Global Retail Corp"/>
    <x v="1"/>
    <s v="NYSE"/>
    <s v="USA-NYSE"/>
    <x v="3"/>
    <s v="ID705434"/>
    <s v="ISIN"/>
    <s v="Exchange Announcement"/>
    <x v="2"/>
    <x v="2"/>
    <s v="Confirmed"/>
  </r>
  <r>
    <d v="2026-03-18T00:00:00"/>
    <x v="8"/>
    <s v="Vertex Telecom"/>
    <x v="1"/>
    <s v="NYSE"/>
    <s v="USA-NYSE"/>
    <x v="3"/>
    <s v="ID318072"/>
    <s v="SEDOL"/>
    <s v="Regulatory Filing"/>
    <x v="2"/>
    <x v="0"/>
    <s v="Announced"/>
  </r>
  <r>
    <d v="2025-08-10T00:00:00"/>
    <x v="3"/>
    <s v="Silverline Industries"/>
    <x v="0"/>
    <s v="TSX"/>
    <s v="Canada-TSX"/>
    <x v="1"/>
    <s v="ID635103"/>
    <s v="ISIN"/>
    <s v="Exchange Announcement"/>
    <x v="5"/>
    <x v="2"/>
    <s v="Announced"/>
  </r>
  <r>
    <d v="2025-07-25T00:00:00"/>
    <x v="0"/>
    <s v="Vertex Telecom"/>
    <x v="1"/>
    <s v="TSX"/>
    <s v="USA-TSX"/>
    <x v="4"/>
    <s v="ID207309"/>
    <s v="ISIN"/>
    <s v="Regulatory Filing"/>
    <x v="0"/>
    <x v="2"/>
    <s v="Announced"/>
  </r>
  <r>
    <d v="2025-08-20T00:00:00"/>
    <x v="3"/>
    <s v="Vertex Telecom"/>
    <x v="1"/>
    <s v="NASDAQ"/>
    <s v="USA-NASDAQ"/>
    <x v="2"/>
    <s v="ID237128"/>
    <s v="ISIN"/>
    <s v="Exchange Announcement"/>
    <x v="6"/>
    <x v="0"/>
    <s v="Confirmed"/>
  </r>
  <r>
    <d v="2025-07-22T00:00:00"/>
    <x v="0"/>
    <s v="NorthStar Tech"/>
    <x v="0"/>
    <s v="NYSE"/>
    <s v="Canada-NYSE"/>
    <x v="1"/>
    <s v="ID554557"/>
    <s v="SEDOL"/>
    <s v="Press Release"/>
    <x v="4"/>
    <x v="0"/>
    <s v="Completed"/>
  </r>
  <r>
    <d v="2025-05-29T00:00:00"/>
    <x v="6"/>
    <s v="Silverline Industries"/>
    <x v="1"/>
    <s v="NASDAQ"/>
    <s v="USA-NASDAQ"/>
    <x v="3"/>
    <s v="ID825298"/>
    <s v="CUSIP"/>
    <s v="Exchange Announcement"/>
    <x v="3"/>
    <x v="0"/>
    <s v="Confirmed"/>
  </r>
  <r>
    <d v="2025-12-06T00:00:00"/>
    <x v="1"/>
    <s v="Pacific Motors"/>
    <x v="0"/>
    <s v="TSX"/>
    <s v="Canada-TSX"/>
    <x v="0"/>
    <s v="ID731281"/>
    <s v="ISIN"/>
    <s v="Press Release"/>
    <x v="5"/>
    <x v="2"/>
    <s v="Completed"/>
  </r>
  <r>
    <d v="2025-12-29T00:00:00"/>
    <x v="1"/>
    <s v="Crescent Utilities"/>
    <x v="1"/>
    <s v="NASDAQ"/>
    <s v="USA-NASDAQ"/>
    <x v="1"/>
    <s v="ID784299"/>
    <s v="CUSIP"/>
    <s v="Regulatory Filing"/>
    <x v="5"/>
    <x v="1"/>
    <s v="Confirmed"/>
  </r>
  <r>
    <d v="2025-10-07T00:00:00"/>
    <x v="4"/>
    <s v="Pacific Motors"/>
    <x v="1"/>
    <s v="NYSE"/>
    <s v="USA-NYSE"/>
    <x v="1"/>
    <s v="ID954748"/>
    <s v="CUSIP"/>
    <s v="Regulatory Filing"/>
    <x v="2"/>
    <x v="1"/>
    <s v="Completed"/>
  </r>
  <r>
    <d v="2025-09-05T00:00:00"/>
    <x v="7"/>
    <s v="Nova Materials"/>
    <x v="0"/>
    <s v="NYSE"/>
    <s v="Canada-NYSE"/>
    <x v="0"/>
    <s v="ID732579"/>
    <s v="ISIN"/>
    <s v="Regulatory Filing"/>
    <x v="1"/>
    <x v="1"/>
    <s v="Announced"/>
  </r>
  <r>
    <d v="2025-09-18T00:00:00"/>
    <x v="7"/>
    <s v="BlueWave Logistics"/>
    <x v="1"/>
    <s v="NASDAQ"/>
    <s v="USA-NASDAQ"/>
    <x v="2"/>
    <s v="ID361695"/>
    <s v="SEDOL"/>
    <s v="Press Release"/>
    <x v="2"/>
    <x v="1"/>
    <s v="Confirmed"/>
  </r>
  <r>
    <d v="2025-06-01T00:00:00"/>
    <x v="9"/>
    <s v="BlueWave Logistics"/>
    <x v="0"/>
    <s v="TSX"/>
    <s v="Canada-TSX"/>
    <x v="0"/>
    <s v="ID823917"/>
    <s v="SEDOL"/>
    <s v="Exchange Announcement"/>
    <x v="5"/>
    <x v="1"/>
    <s v="Confirmed"/>
  </r>
  <r>
    <d v="2025-08-30T00:00:00"/>
    <x v="3"/>
    <s v="Orion Aerospace"/>
    <x v="0"/>
    <s v="TSX"/>
    <s v="Canada-TSX"/>
    <x v="1"/>
    <s v="ID578845"/>
    <s v="ISIN"/>
    <s v="Exchange Announcement"/>
    <x v="2"/>
    <x v="1"/>
    <s v="Announced"/>
  </r>
  <r>
    <d v="2025-06-18T00:00:00"/>
    <x v="9"/>
    <s v="Maple Finance"/>
    <x v="0"/>
    <s v="TSX"/>
    <s v="Canada-TSX"/>
    <x v="1"/>
    <s v="ID155926"/>
    <s v="ISIN"/>
    <s v="Press Release"/>
    <x v="4"/>
    <x v="1"/>
    <s v="Confirmed"/>
  </r>
  <r>
    <d v="2025-07-10T00:00:00"/>
    <x v="0"/>
    <s v="Vertex Telecom"/>
    <x v="1"/>
    <s v="NYSE"/>
    <s v="USA-NYSE"/>
    <x v="0"/>
    <s v="ID291675"/>
    <s v="SEDOL"/>
    <s v="Regulatory Filing"/>
    <x v="4"/>
    <x v="1"/>
    <s v="Confirmed"/>
  </r>
  <r>
    <d v="2026-03-15T00:00:00"/>
    <x v="8"/>
    <s v="Crescent Utilities"/>
    <x v="1"/>
    <s v="TSX"/>
    <s v="USA-TSX"/>
    <x v="2"/>
    <s v="ID423300"/>
    <s v="ISIN"/>
    <s v="Press Release"/>
    <x v="0"/>
    <x v="0"/>
    <s v="Confirmed"/>
  </r>
  <r>
    <d v="2025-04-20T00:00:00"/>
    <x v="10"/>
    <s v="Pacific Motors"/>
    <x v="1"/>
    <s v="NYSE"/>
    <s v="USA-NYSE"/>
    <x v="4"/>
    <s v="ID110365"/>
    <s v="ISIN"/>
    <s v="Press Release"/>
    <x v="2"/>
    <x v="1"/>
    <s v="Completed"/>
  </r>
  <r>
    <d v="2025-06-28T00:00:00"/>
    <x v="9"/>
    <s v="Orion Aerospace"/>
    <x v="0"/>
    <s v="NYSE"/>
    <s v="Canada-NYSE"/>
    <x v="4"/>
    <s v="ID174324"/>
    <s v="SEDOL"/>
    <s v="Exchange Announcement"/>
    <x v="5"/>
    <x v="1"/>
    <s v="Completed"/>
  </r>
  <r>
    <d v="2025-10-18T00:00:00"/>
    <x v="4"/>
    <s v="Quantum Pharma"/>
    <x v="0"/>
    <s v="TSX"/>
    <s v="Canada-TSX"/>
    <x v="0"/>
    <s v="ID624175"/>
    <s v="SEDOL"/>
    <s v="Regulatory Filing"/>
    <x v="3"/>
    <x v="0"/>
    <s v="Announced"/>
  </r>
  <r>
    <d v="2025-07-06T00:00:00"/>
    <x v="0"/>
    <s v="Orion Aerospace"/>
    <x v="1"/>
    <s v="NYSE"/>
    <s v="USA-NYSE"/>
    <x v="0"/>
    <s v="ID449216"/>
    <s v="SEDOL"/>
    <s v="Regulatory Filing"/>
    <x v="4"/>
    <x v="0"/>
    <s v="Confirmed"/>
  </r>
  <r>
    <d v="2025-11-04T00:00:00"/>
    <x v="2"/>
    <s v="Silverline Industries"/>
    <x v="1"/>
    <s v="NYSE"/>
    <s v="USA-NYSE"/>
    <x v="1"/>
    <s v="ID606402"/>
    <s v="SEDOL"/>
    <s v="Exchange Announcement"/>
    <x v="0"/>
    <x v="1"/>
    <s v="Confirmed"/>
  </r>
  <r>
    <d v="2026-02-23T00:00:00"/>
    <x v="11"/>
    <s v="Silverline Industries"/>
    <x v="0"/>
    <s v="TSX"/>
    <s v="Canada-TSX"/>
    <x v="2"/>
    <s v="ID846182"/>
    <s v="ISIN"/>
    <s v="Regulatory Filing"/>
    <x v="3"/>
    <x v="1"/>
    <s v="Confirmed"/>
  </r>
  <r>
    <d v="2026-01-03T00:00:00"/>
    <x v="5"/>
    <s v="BlueWave Logistics"/>
    <x v="0"/>
    <s v="NYSE"/>
    <s v="Canada-NYSE"/>
    <x v="4"/>
    <s v="ID787830"/>
    <s v="ISIN"/>
    <s v="Regulatory Filing"/>
    <x v="2"/>
    <x v="1"/>
    <s v="Announced"/>
  </r>
  <r>
    <d v="2025-11-17T00:00:00"/>
    <x v="2"/>
    <s v="Orion Aerospace"/>
    <x v="0"/>
    <s v="TSX"/>
    <s v="Canada-TSX"/>
    <x v="5"/>
    <s v="ID472562"/>
    <s v="CUSIP"/>
    <s v="Regulatory Filing"/>
    <x v="2"/>
    <x v="0"/>
    <s v="Confirmed"/>
  </r>
  <r>
    <d v="2025-09-26T00:00:00"/>
    <x v="7"/>
    <s v="Quantum Pharma"/>
    <x v="0"/>
    <s v="TSX"/>
    <s v="Canada-TSX"/>
    <x v="3"/>
    <s v="ID700196"/>
    <s v="SEDOL"/>
    <s v="Exchange Announcement"/>
    <x v="3"/>
    <x v="2"/>
    <s v="Completed"/>
  </r>
  <r>
    <d v="2026-02-05T00:00:00"/>
    <x v="11"/>
    <s v="Maple Finance"/>
    <x v="1"/>
    <s v="NASDAQ"/>
    <s v="USA-NASDAQ"/>
    <x v="2"/>
    <s v="ID397343"/>
    <s v="CUSIP"/>
    <s v="Regulatory Filing"/>
    <x v="6"/>
    <x v="0"/>
    <s v="Announced"/>
  </r>
  <r>
    <d v="2025-05-01T00:00:00"/>
    <x v="6"/>
    <s v="Quantum Pharma"/>
    <x v="1"/>
    <s v="TSX"/>
    <s v="USA-TSX"/>
    <x v="1"/>
    <s v="ID712537"/>
    <s v="CUSIP"/>
    <s v="Regulatory Filing"/>
    <x v="2"/>
    <x v="0"/>
    <s v="Announced"/>
  </r>
  <r>
    <d v="2025-05-11T00:00:00"/>
    <x v="6"/>
    <s v="Silverline Industries"/>
    <x v="0"/>
    <s v="NASDAQ"/>
    <s v="Canada-NASDAQ"/>
    <x v="2"/>
    <s v="ID209752"/>
    <s v="SEDOL"/>
    <s v="Exchange Announcement"/>
    <x v="1"/>
    <x v="2"/>
    <s v="Announced"/>
  </r>
  <r>
    <d v="2025-07-28T00:00:00"/>
    <x v="0"/>
    <s v="Crescent Utilities"/>
    <x v="1"/>
    <s v="TSX"/>
    <s v="USA-TSX"/>
    <x v="5"/>
    <s v="ID465966"/>
    <s v="ISIN"/>
    <s v="Press Release"/>
    <x v="2"/>
    <x v="2"/>
    <s v="Completed"/>
  </r>
  <r>
    <d v="2025-09-05T00:00:00"/>
    <x v="7"/>
    <s v="Crescent Utilities"/>
    <x v="0"/>
    <s v="NASDAQ"/>
    <s v="Canada-NASDAQ"/>
    <x v="2"/>
    <s v="ID853392"/>
    <s v="CUSIP"/>
    <s v="Regulatory Filing"/>
    <x v="6"/>
    <x v="1"/>
    <s v="Completed"/>
  </r>
  <r>
    <d v="2026-01-08T00:00:00"/>
    <x v="5"/>
    <s v="Nova Materials"/>
    <x v="0"/>
    <s v="TSX"/>
    <s v="Canada-TSX"/>
    <x v="5"/>
    <s v="ID327157"/>
    <s v="CUSIP"/>
    <s v="Regulatory Filing"/>
    <x v="2"/>
    <x v="2"/>
    <s v="Completed"/>
  </r>
  <r>
    <d v="2025-12-18T00:00:00"/>
    <x v="1"/>
    <s v="Pacific Motors"/>
    <x v="0"/>
    <s v="TSX"/>
    <s v="Canada-TSX"/>
    <x v="2"/>
    <s v="ID886253"/>
    <s v="ISIN"/>
    <s v="Regulatory Filing"/>
    <x v="6"/>
    <x v="1"/>
    <s v="Announced"/>
  </r>
  <r>
    <d v="2025-10-20T00:00:00"/>
    <x v="4"/>
    <s v="Alpha Energy"/>
    <x v="1"/>
    <s v="TSX"/>
    <s v="USA-TSX"/>
    <x v="0"/>
    <s v="ID181517"/>
    <s v="CUSIP"/>
    <s v="Exchange Announcement"/>
    <x v="4"/>
    <x v="0"/>
    <s v="Confirmed"/>
  </r>
  <r>
    <d v="2026-01-22T00:00:00"/>
    <x v="5"/>
    <s v="Quantum Pharma"/>
    <x v="1"/>
    <s v="NASDAQ"/>
    <s v="USA-NASDAQ"/>
    <x v="2"/>
    <s v="ID218619"/>
    <s v="SEDOL"/>
    <s v="Press Release"/>
    <x v="2"/>
    <x v="1"/>
    <s v="Completed"/>
  </r>
  <r>
    <d v="2025-04-08T00:00:00"/>
    <x v="10"/>
    <s v="Evergreen Foods"/>
    <x v="1"/>
    <s v="NYSE"/>
    <s v="USA-NYSE"/>
    <x v="0"/>
    <s v="ID665871"/>
    <s v="ISIN"/>
    <s v="Exchange Announcement"/>
    <x v="1"/>
    <x v="0"/>
    <s v="Confirmed"/>
  </r>
  <r>
    <d v="2025-05-20T00:00:00"/>
    <x v="6"/>
    <s v="Quantum Pharma"/>
    <x v="0"/>
    <s v="NASDAQ"/>
    <s v="Canada-NASDAQ"/>
    <x v="3"/>
    <s v="ID388808"/>
    <s v="CUSIP"/>
    <s v="Regulatory Filing"/>
    <x v="1"/>
    <x v="0"/>
    <s v="Completed"/>
  </r>
  <r>
    <d v="2025-07-27T00:00:00"/>
    <x v="0"/>
    <s v="Crescent Utilities"/>
    <x v="0"/>
    <s v="TSX"/>
    <s v="Canada-TSX"/>
    <x v="4"/>
    <s v="ID844980"/>
    <s v="SEDOL"/>
    <s v="Press Release"/>
    <x v="2"/>
    <x v="2"/>
    <s v="Announced"/>
  </r>
  <r>
    <d v="2026-02-15T00:00:00"/>
    <x v="11"/>
    <s v="Orion Aerospace"/>
    <x v="1"/>
    <s v="NASDAQ"/>
    <s v="USA-NASDAQ"/>
    <x v="0"/>
    <s v="ID974308"/>
    <s v="ISIN"/>
    <s v="Exchange Announcement"/>
    <x v="1"/>
    <x v="2"/>
    <s v="Confirmed"/>
  </r>
  <r>
    <d v="2025-09-09T00:00:00"/>
    <x v="7"/>
    <s v="Pacific Motors"/>
    <x v="1"/>
    <s v="TSX"/>
    <s v="USA-TSX"/>
    <x v="4"/>
    <s v="ID167873"/>
    <s v="ISIN"/>
    <s v="Regulatory Filing"/>
    <x v="5"/>
    <x v="0"/>
    <s v="Announced"/>
  </r>
  <r>
    <d v="2025-10-08T00:00:00"/>
    <x v="4"/>
    <s v="Global Retail Corp"/>
    <x v="0"/>
    <s v="NASDAQ"/>
    <s v="Canada-NASDAQ"/>
    <x v="5"/>
    <s v="ID650911"/>
    <s v="ISIN"/>
    <s v="Regulatory Filing"/>
    <x v="3"/>
    <x v="0"/>
    <s v="Confirmed"/>
  </r>
  <r>
    <d v="2025-04-16T00:00:00"/>
    <x v="10"/>
    <s v="BlueWave Logistics"/>
    <x v="1"/>
    <s v="NASDAQ"/>
    <s v="USA-NASDAQ"/>
    <x v="2"/>
    <s v="ID769445"/>
    <s v="ISIN"/>
    <s v="Regulatory Filing"/>
    <x v="5"/>
    <x v="1"/>
    <s v="Confirmed"/>
  </r>
  <r>
    <d v="2025-06-08T00:00:00"/>
    <x v="9"/>
    <s v="Silverline Industries"/>
    <x v="1"/>
    <s v="NYSE"/>
    <s v="USA-NYSE"/>
    <x v="3"/>
    <s v="ID397309"/>
    <s v="CUSIP"/>
    <s v="Regulatory Filing"/>
    <x v="6"/>
    <x v="1"/>
    <s v="Completed"/>
  </r>
  <r>
    <d v="2025-06-27T00:00:00"/>
    <x v="9"/>
    <s v="Quantum Pharma"/>
    <x v="1"/>
    <s v="NYSE"/>
    <s v="USA-NYSE"/>
    <x v="1"/>
    <s v="ID949208"/>
    <s v="SEDOL"/>
    <s v="Exchange Announcement"/>
    <x v="2"/>
    <x v="0"/>
    <s v="Confirmed"/>
  </r>
  <r>
    <d v="2026-02-15T00:00:00"/>
    <x v="11"/>
    <s v="Evergreen Foods"/>
    <x v="1"/>
    <s v="TSX"/>
    <s v="USA-TSX"/>
    <x v="3"/>
    <s v="ID950476"/>
    <s v="CUSIP"/>
    <s v="Regulatory Filing"/>
    <x v="0"/>
    <x v="2"/>
    <s v="Announced"/>
  </r>
  <r>
    <d v="2025-12-16T00:00:00"/>
    <x v="1"/>
    <s v="Evergreen Foods"/>
    <x v="1"/>
    <s v="TSX"/>
    <s v="USA-TSX"/>
    <x v="0"/>
    <s v="ID105155"/>
    <s v="ISIN"/>
    <s v="Regulatory Filing"/>
    <x v="5"/>
    <x v="2"/>
    <s v="Announced"/>
  </r>
  <r>
    <d v="2026-03-27T00:00:00"/>
    <x v="8"/>
    <s v="Orion Aerospace"/>
    <x v="1"/>
    <s v="NYSE"/>
    <s v="USA-NYSE"/>
    <x v="3"/>
    <s v="ID855168"/>
    <s v="ISIN"/>
    <s v="Press Release"/>
    <x v="0"/>
    <x v="1"/>
    <s v="Confirmed"/>
  </r>
  <r>
    <d v="2025-10-05T00:00:00"/>
    <x v="4"/>
    <s v="Pacific Motors"/>
    <x v="0"/>
    <s v="NYSE"/>
    <s v="Canada-NYSE"/>
    <x v="5"/>
    <s v="ID311364"/>
    <s v="ISIN"/>
    <s v="Exchange Announcement"/>
    <x v="5"/>
    <x v="2"/>
    <s v="Announced"/>
  </r>
  <r>
    <d v="2026-03-26T00:00:00"/>
    <x v="8"/>
    <s v="Summit Resources"/>
    <x v="0"/>
    <s v="TSX"/>
    <s v="Canada-TSX"/>
    <x v="4"/>
    <s v="ID416803"/>
    <s v="CUSIP"/>
    <s v="Regulatory Filing"/>
    <x v="5"/>
    <x v="0"/>
    <s v="Confirmed"/>
  </r>
  <r>
    <d v="2026-01-05T00:00:00"/>
    <x v="5"/>
    <s v="Pioneer Media"/>
    <x v="1"/>
    <s v="NYSE"/>
    <s v="USA-NYSE"/>
    <x v="3"/>
    <s v="ID973924"/>
    <s v="SEDOL"/>
    <s v="Press Release"/>
    <x v="6"/>
    <x v="0"/>
    <s v="Completed"/>
  </r>
  <r>
    <d v="2025-07-14T00:00:00"/>
    <x v="0"/>
    <s v="Evergreen Foods"/>
    <x v="1"/>
    <s v="NASDAQ"/>
    <s v="USA-NASDAQ"/>
    <x v="5"/>
    <s v="ID417173"/>
    <s v="CUSIP"/>
    <s v="Press Release"/>
    <x v="5"/>
    <x v="1"/>
    <s v="Announced"/>
  </r>
  <r>
    <d v="2026-02-24T00:00:00"/>
    <x v="11"/>
    <s v="Quantum Pharma"/>
    <x v="1"/>
    <s v="NYSE"/>
    <s v="USA-NYSE"/>
    <x v="4"/>
    <s v="ID516429"/>
    <s v="ISIN"/>
    <s v="Press Release"/>
    <x v="4"/>
    <x v="0"/>
    <s v="Announced"/>
  </r>
  <r>
    <d v="2026-02-13T00:00:00"/>
    <x v="11"/>
    <s v="Maple Finance"/>
    <x v="0"/>
    <s v="TSX"/>
    <s v="Canada-TSX"/>
    <x v="3"/>
    <s v="ID333434"/>
    <s v="CUSIP"/>
    <s v="Regulatory Filing"/>
    <x v="1"/>
    <x v="1"/>
    <s v="Completed"/>
  </r>
  <r>
    <d v="2025-12-11T00:00:00"/>
    <x v="1"/>
    <s v="BlueWave Logistics"/>
    <x v="1"/>
    <s v="TSX"/>
    <s v="USA-TSX"/>
    <x v="5"/>
    <s v="ID616370"/>
    <s v="SEDOL"/>
    <s v="Regulatory Filing"/>
    <x v="6"/>
    <x v="1"/>
    <s v="Announc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85694D-68E9-48A4-A39B-1DCE8550F944}" name="Event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4:B41" firstHeaderRow="1" firstDataRow="1" firstDataCol="1"/>
  <pivotFields count="15">
    <pivotField numFmtId="164" showAll="0"/>
    <pivotField numFmtId="165" showAll="0">
      <items count="13">
        <item x="10"/>
        <item x="6"/>
        <item x="9"/>
        <item x="0"/>
        <item x="3"/>
        <item x="7"/>
        <item x="4"/>
        <item x="2"/>
        <item x="1"/>
        <item x="5"/>
        <item x="11"/>
        <item x="8"/>
        <item t="default"/>
      </items>
    </pivotField>
    <pivotField showAll="0"/>
    <pivotField showAll="0">
      <items count="3">
        <item x="0"/>
        <item x="1"/>
        <item t="default"/>
      </items>
    </pivotField>
    <pivotField showAll="0"/>
    <pivotField showAll="0"/>
    <pivotField axis="axisRow" dataField="1" showAll="0" sortType="descending">
      <items count="7">
        <item x="4"/>
        <item x="0"/>
        <item x="2"/>
        <item x="5"/>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8">
        <item x="3"/>
        <item x="2"/>
        <item x="0"/>
        <item x="5"/>
        <item x="6"/>
        <item x="4"/>
        <item x="1"/>
        <item t="default"/>
      </items>
    </pivotField>
    <pivotField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7">
    <i>
      <x v="5"/>
    </i>
    <i>
      <x v="2"/>
    </i>
    <i>
      <x/>
    </i>
    <i>
      <x v="1"/>
    </i>
    <i>
      <x v="4"/>
    </i>
    <i>
      <x v="3"/>
    </i>
    <i t="grand">
      <x/>
    </i>
  </rowItems>
  <colItems count="1">
    <i/>
  </colItems>
  <dataFields count="1">
    <dataField name="Count of Event_Type" fld="6"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D55CB8-7E5D-4B7C-822B-9686E911CE77}" name="Sector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B28" firstHeaderRow="1" firstDataRow="1" firstDataCol="1"/>
  <pivotFields count="15">
    <pivotField numFmtId="164" showAll="0"/>
    <pivotField numFmtId="165" showAll="0">
      <items count="13">
        <item x="10"/>
        <item x="6"/>
        <item x="9"/>
        <item x="0"/>
        <item x="3"/>
        <item x="7"/>
        <item x="4"/>
        <item x="2"/>
        <item x="1"/>
        <item x="5"/>
        <item x="11"/>
        <item x="8"/>
        <item t="default"/>
      </items>
    </pivotField>
    <pivotField showAll="0"/>
    <pivotField showAll="0">
      <items count="3">
        <item x="0"/>
        <item x="1"/>
        <item t="default"/>
      </items>
    </pivotField>
    <pivotField showAll="0"/>
    <pivotField showAll="0"/>
    <pivotField dataField="1" showAll="0">
      <items count="7">
        <item x="4"/>
        <item x="0"/>
        <item x="2"/>
        <item x="5"/>
        <item x="1"/>
        <item x="3"/>
        <item t="default"/>
      </items>
    </pivotField>
    <pivotField showAll="0"/>
    <pivotField showAll="0"/>
    <pivotField showAll="0"/>
    <pivotField axis="axisRow" showAll="0" sortType="descending">
      <items count="8">
        <item x="1"/>
        <item x="4"/>
        <item x="6"/>
        <item x="5"/>
        <item x="0"/>
        <item x="2"/>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8">
    <i>
      <x v="6"/>
    </i>
    <i>
      <x v="2"/>
    </i>
    <i>
      <x v="4"/>
    </i>
    <i>
      <x v="5"/>
    </i>
    <i>
      <x/>
    </i>
    <i>
      <x v="3"/>
    </i>
    <i>
      <x v="1"/>
    </i>
    <i t="grand">
      <x/>
    </i>
  </rowItems>
  <colItems count="1">
    <i/>
  </colItems>
  <dataFields count="1">
    <dataField name="Count of Event_Type" fld="6"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7E4A90-59D7-431D-885A-A05129213914}" name="Month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17" firstHeaderRow="1" firstDataRow="1" firstDataCol="1"/>
  <pivotFields count="15">
    <pivotField numFmtId="164" showAll="0"/>
    <pivotField numFmtId="165" showAll="0">
      <items count="13">
        <item x="10"/>
        <item x="6"/>
        <item x="9"/>
        <item x="0"/>
        <item x="3"/>
        <item x="7"/>
        <item x="4"/>
        <item x="2"/>
        <item x="1"/>
        <item x="5"/>
        <item x="11"/>
        <item x="8"/>
        <item t="default"/>
      </items>
    </pivotField>
    <pivotField showAll="0"/>
    <pivotField showAll="0">
      <items count="3">
        <item x="0"/>
        <item x="1"/>
        <item t="default"/>
      </items>
    </pivotField>
    <pivotField showAll="0"/>
    <pivotField showAll="0"/>
    <pivotField dataField="1" showAll="0">
      <items count="7">
        <item x="4"/>
        <item x="0"/>
        <item x="2"/>
        <item x="5"/>
        <item x="1"/>
        <item x="3"/>
        <item t="default"/>
      </items>
    </pivotField>
    <pivotField showAll="0"/>
    <pivotField showAll="0"/>
    <pivotField showAll="0"/>
    <pivotField showAll="0">
      <items count="8">
        <item x="3"/>
        <item x="2"/>
        <item x="0"/>
        <item x="5"/>
        <item x="6"/>
        <item x="4"/>
        <item x="1"/>
        <item t="default"/>
      </items>
    </pivotField>
    <pivotField showAll="0">
      <items count="4">
        <item x="1"/>
        <item x="0"/>
        <item x="2"/>
        <item t="default"/>
      </items>
    </pivotField>
    <pivotField showAll="0"/>
    <pivotField axis="axisRow" showAll="0" defaultSubtotal="0">
      <items count="14">
        <item x="0"/>
        <item x="1"/>
        <item x="2"/>
        <item x="3"/>
        <item x="4"/>
        <item x="5"/>
        <item x="6"/>
        <item x="7"/>
        <item x="8"/>
        <item x="9"/>
        <item x="10"/>
        <item x="11"/>
        <item x="12"/>
        <item x="13"/>
      </items>
    </pivotField>
    <pivotField axis="axisRow" showAll="0" defaultSubtotal="0">
      <items count="4">
        <item x="0"/>
        <item x="1"/>
        <item x="2"/>
        <item x="3"/>
      </items>
    </pivotField>
  </pivotFields>
  <rowFields count="2">
    <field x="14"/>
    <field x="13"/>
  </rowFields>
  <rowItems count="15">
    <i>
      <x v="1"/>
    </i>
    <i r="1">
      <x v="4"/>
    </i>
    <i r="1">
      <x v="5"/>
    </i>
    <i r="1">
      <x v="6"/>
    </i>
    <i r="1">
      <x v="7"/>
    </i>
    <i r="1">
      <x v="8"/>
    </i>
    <i r="1">
      <x v="9"/>
    </i>
    <i r="1">
      <x v="10"/>
    </i>
    <i r="1">
      <x v="11"/>
    </i>
    <i r="1">
      <x v="12"/>
    </i>
    <i>
      <x v="2"/>
    </i>
    <i r="1">
      <x v="1"/>
    </i>
    <i r="1">
      <x v="2"/>
    </i>
    <i r="1">
      <x v="3"/>
    </i>
    <i t="grand">
      <x/>
    </i>
  </rowItems>
  <colItems count="1">
    <i/>
  </colItems>
  <dataFields count="1">
    <dataField name="Count of Event_Type" fld="6"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BF0D7D-8579-44F5-B957-3AC7890ABAF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3:B67" firstHeaderRow="1" firstDataRow="1" firstDataCol="1"/>
  <pivotFields count="15">
    <pivotField numFmtId="164" showAll="0"/>
    <pivotField numFmtId="165" showAll="0">
      <items count="13">
        <item x="10"/>
        <item x="6"/>
        <item x="9"/>
        <item x="0"/>
        <item x="3"/>
        <item x="7"/>
        <item x="4"/>
        <item x="2"/>
        <item x="1"/>
        <item x="5"/>
        <item x="11"/>
        <item x="8"/>
        <item t="default"/>
      </items>
    </pivotField>
    <pivotField showAll="0"/>
    <pivotField showAll="0">
      <items count="3">
        <item x="0"/>
        <item x="1"/>
        <item t="default"/>
      </items>
    </pivotField>
    <pivotField showAll="0"/>
    <pivotField showAll="0"/>
    <pivotField dataField="1" showAll="0">
      <items count="7">
        <item x="4"/>
        <item x="0"/>
        <item x="2"/>
        <item x="5"/>
        <item x="1"/>
        <item x="3"/>
        <item t="default"/>
      </items>
    </pivotField>
    <pivotField showAll="0"/>
    <pivotField showAll="0"/>
    <pivotField showAll="0"/>
    <pivotField showAll="0">
      <items count="8">
        <item x="3"/>
        <item x="2"/>
        <item x="0"/>
        <item x="5"/>
        <item x="6"/>
        <item x="4"/>
        <item x="1"/>
        <item t="default"/>
      </items>
    </pivotField>
    <pivotField axis="axisRow" showAll="0" sortType="ascending">
      <items count="4">
        <item x="1"/>
        <item x="0"/>
        <item x="2"/>
        <item t="default"/>
      </items>
    </pivotField>
    <pivotField showAll="0"/>
    <pivotField showAll="0" defaultSubtotal="0"/>
    <pivotField showAll="0" defaultSubtotal="0">
      <items count="4">
        <item x="0"/>
        <item x="1"/>
        <item x="2"/>
        <item x="3"/>
      </items>
    </pivotField>
  </pivotFields>
  <rowFields count="1">
    <field x="11"/>
  </rowFields>
  <rowItems count="4">
    <i>
      <x/>
    </i>
    <i>
      <x v="1"/>
    </i>
    <i>
      <x v="2"/>
    </i>
    <i t="grand">
      <x/>
    </i>
  </rowItems>
  <colItems count="1">
    <i/>
  </colItems>
  <dataFields count="1">
    <dataField name="Count of Event_Type" fld="6" subtotal="count" baseField="0" baseItem="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A3D469-4D4B-40B2-93C0-EA71EA82CC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9:B52" firstHeaderRow="1" firstDataRow="1" firstDataCol="1"/>
  <pivotFields count="15">
    <pivotField numFmtId="164" showAll="0"/>
    <pivotField numFmtId="165" showAll="0">
      <items count="13">
        <item x="10"/>
        <item x="6"/>
        <item x="9"/>
        <item x="0"/>
        <item x="3"/>
        <item x="7"/>
        <item x="4"/>
        <item x="2"/>
        <item x="1"/>
        <item x="5"/>
        <item x="11"/>
        <item x="8"/>
        <item t="default"/>
      </items>
    </pivotField>
    <pivotField showAll="0"/>
    <pivotField axis="axisRow" showAll="0">
      <items count="3">
        <item x="0"/>
        <item x="1"/>
        <item t="default"/>
      </items>
    </pivotField>
    <pivotField showAll="0"/>
    <pivotField showAll="0"/>
    <pivotField dataField="1" showAll="0">
      <items count="7">
        <item x="4"/>
        <item x="0"/>
        <item x="2"/>
        <item x="5"/>
        <item x="1"/>
        <item x="3"/>
        <item t="default"/>
      </items>
    </pivotField>
    <pivotField showAll="0"/>
    <pivotField showAll="0"/>
    <pivotField showAll="0"/>
    <pivotField showAll="0">
      <items count="8">
        <item x="3"/>
        <item x="2"/>
        <item x="0"/>
        <item x="5"/>
        <item x="6"/>
        <item x="4"/>
        <item x="1"/>
        <item t="default"/>
      </items>
    </pivotField>
    <pivotField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Count of Event_Type" fld="6" subtotal="count" baseField="0" baseItem="0"/>
  </dataField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Year" xr10:uid="{394856A7-9D9E-425B-A28D-A409B20CB32F}" sourceName="MonthYear">
  <pivotTables>
    <pivotTable tabId="6" name="PivotTable9"/>
    <pivotTable tabId="6" name="SectorPivot"/>
    <pivotTable tabId="6" name="PivotTable2"/>
    <pivotTable tabId="6" name="EventPivot"/>
    <pivotTable tabId="6" name="MonthPivot"/>
  </pivotTables>
  <data>
    <tabular pivotCacheId="438318573">
      <items count="12">
        <i x="10" s="1"/>
        <i x="6" s="1"/>
        <i x="9" s="1"/>
        <i x="0" s="1"/>
        <i x="3" s="1"/>
        <i x="7" s="1"/>
        <i x="4" s="1"/>
        <i x="2" s="1"/>
        <i x="1" s="1"/>
        <i x="5" s="1"/>
        <i x="1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CF80732-0336-4C64-A665-F0F6BB72B076}" sourceName="Country">
  <pivotTables>
    <pivotTable tabId="6" name="MonthPivot"/>
    <pivotTable tabId="6" name="SectorPivot"/>
    <pivotTable tabId="6" name="PivotTable2"/>
    <pivotTable tabId="6" name="EventPivot"/>
    <pivotTable tabId="6" name="PivotTable9"/>
  </pivotTables>
  <data>
    <tabular pivotCacheId="43831857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C677C77B-B94A-4B6C-9354-7D96D0090CD1}" sourceName="Event_Type">
  <pivotTables>
    <pivotTable tabId="6" name="MonthPivot"/>
    <pivotTable tabId="6" name="SectorPivot"/>
    <pivotTable tabId="6" name="PivotTable2"/>
    <pivotTable tabId="6" name="EventPivot"/>
    <pivotTable tabId="6" name="PivotTable9"/>
  </pivotTables>
  <data>
    <tabular pivotCacheId="438318573">
      <items count="6">
        <i x="4" s="1"/>
        <i x="0" s="1"/>
        <i x="2" s="1"/>
        <i x="5"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54A08D89-F2C9-40B4-B647-8CD12277B05E}" sourceName="Sector">
  <pivotTables>
    <pivotTable tabId="6" name="MonthPivot"/>
    <pivotTable tabId="6" name="SectorPivot"/>
    <pivotTable tabId="6" name="PivotTable2"/>
    <pivotTable tabId="6" name="EventPivot"/>
    <pivotTable tabId="6" name="PivotTable9"/>
  </pivotTables>
  <data>
    <tabular pivotCacheId="438318573">
      <items count="7">
        <i x="3" s="1"/>
        <i x="2" s="1"/>
        <i x="0" s="1"/>
        <i x="5" s="1"/>
        <i x="6"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Cap_Category" xr10:uid="{5FA6C590-E4D6-4937-A5A5-B2186C490BB2}" sourceName="Market_Cap_Category">
  <pivotTables>
    <pivotTable tabId="6" name="MonthPivot"/>
    <pivotTable tabId="6" name="SectorPivot"/>
    <pivotTable tabId="6" name="PivotTable2"/>
    <pivotTable tabId="6" name="EventPivot"/>
    <pivotTable tabId="6" name="PivotTable9"/>
  </pivotTables>
  <data>
    <tabular pivotCacheId="43831857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Year 1" xr10:uid="{E98233E0-6806-44AD-9ED3-C66C74427A91}" cache="Slicer_MonthYear" caption="MonthYear" rowHeight="241300"/>
  <slicer name="Country" xr10:uid="{21755111-74BE-4860-87A0-02476D4B6C76}" cache="Slicer_Country" caption="Country" rowHeight="241300"/>
  <slicer name="Event_Type" xr10:uid="{E6F01413-263B-4B4A-8649-97122E328632}" cache="Slicer_Event_Type" caption="Event_Type" rowHeight="241300"/>
  <slicer name="Sector" xr10:uid="{CE75FC93-E333-4050-A1FA-2A9A364B3B55}" cache="Slicer_Sector" caption="Sector" rowHeight="241300"/>
  <slicer name="Market_Cap_Category" xr10:uid="{2AD5A502-09E0-40B4-8B30-D0AF259CB653}" cache="Slicer_Market_Cap_Category" caption="Market_Cap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76C147-50EC-43DA-934D-38863693CF15}" name="Table1" displayName="Table1" ref="A1:M251" totalsRowShown="0">
  <tableColumns count="13">
    <tableColumn id="1" xr3:uid="{0E5C7951-E560-4659-9DEA-27ED3F7A88E6}" name="Announcement_Date" dataDxfId="1"/>
    <tableColumn id="13" xr3:uid="{753DD9A9-F9B4-46FE-9DBC-EBCCEDA11AE6}" name="MonthYear" dataDxfId="0">
      <calculatedColumnFormula>EOMONTH(Table1[[#This Row],[Announcement_Date]],0)</calculatedColumnFormula>
    </tableColumn>
    <tableColumn id="2" xr3:uid="{74B302AC-04B7-4462-B974-2FD34E025999}" name="Company_Name"/>
    <tableColumn id="3" xr3:uid="{B1260457-76F1-4751-9A86-E5F551F23144}" name="Country"/>
    <tableColumn id="4" xr3:uid="{872BBFD7-388F-4595-A0F1-2D7458A88C67}" name="Exchange"/>
    <tableColumn id="5" xr3:uid="{2367CC26-D837-4274-B704-4C0A8F8B4AC5}" name="Country-Exchange">
      <calculatedColumnFormula>CONCATENATE(D2,"-",E2)</calculatedColumnFormula>
    </tableColumn>
    <tableColumn id="6" xr3:uid="{E7FDEFD3-ABCE-469F-85BD-87B0033E053C}" name="Event_Type"/>
    <tableColumn id="7" xr3:uid="{DF8A1380-1115-4F15-B22E-FC35DF0B2AB2}" name="Security_ID"/>
    <tableColumn id="8" xr3:uid="{6166155F-0E21-4A91-AEBF-8779ED3A0989}" name="Identifier_Type"/>
    <tableColumn id="9" xr3:uid="{532D84A4-14AE-4C1D-9CF9-409F67A361DC}" name="Announcement_Source"/>
    <tableColumn id="10" xr3:uid="{2D3A57CE-7DCE-4338-91B6-2ADEC77C78BA}" name="Sector"/>
    <tableColumn id="11" xr3:uid="{DADF0137-2157-4E33-85B4-2D6E344FF8E3}" name="Market_Cap_Category"/>
    <tableColumn id="12" xr3:uid="{A0BC0D12-258D-4C46-90E2-DCD643957F32}" name="Event_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1"/>
  <sheetViews>
    <sheetView workbookViewId="0"/>
  </sheetViews>
  <sheetFormatPr defaultRowHeight="14.5" x14ac:dyDescent="0.35"/>
  <cols>
    <col min="1" max="1" width="20.7265625" customWidth="1"/>
    <col min="2" max="2" width="17.1796875" bestFit="1" customWidth="1"/>
    <col min="3" max="3" width="9.54296875" customWidth="1"/>
    <col min="4" max="4" width="10.6328125" customWidth="1"/>
    <col min="5" max="5" width="18" customWidth="1"/>
    <col min="6" max="6" width="18.54296875" bestFit="1" customWidth="1"/>
    <col min="7" max="7" width="12.26953125" customWidth="1"/>
    <col min="8" max="8" width="15.54296875" customWidth="1"/>
    <col min="9" max="9" width="22.36328125" customWidth="1"/>
    <col min="10" max="10" width="18.1796875" bestFit="1" customWidth="1"/>
    <col min="11" max="11" width="21.6328125" customWidth="1"/>
    <col min="12" max="12" width="13.81640625" customWidth="1"/>
  </cols>
  <sheetData>
    <row r="1" spans="1:13" x14ac:dyDescent="0.35">
      <c r="A1" t="s">
        <v>0</v>
      </c>
      <c r="B1" t="s">
        <v>324</v>
      </c>
      <c r="C1" t="s">
        <v>1</v>
      </c>
      <c r="D1" t="s">
        <v>2</v>
      </c>
      <c r="E1" t="s">
        <v>3</v>
      </c>
      <c r="F1" t="s">
        <v>317</v>
      </c>
      <c r="G1" t="s">
        <v>4</v>
      </c>
      <c r="H1" t="s">
        <v>5</v>
      </c>
      <c r="I1" t="s">
        <v>6</v>
      </c>
      <c r="J1" t="s">
        <v>7</v>
      </c>
      <c r="K1" t="s">
        <v>8</v>
      </c>
      <c r="L1" t="s">
        <v>9</v>
      </c>
      <c r="M1" t="s">
        <v>10</v>
      </c>
    </row>
    <row r="2" spans="1:13" x14ac:dyDescent="0.35">
      <c r="A2" s="5">
        <v>45860</v>
      </c>
      <c r="B2" s="7">
        <f>EOMONTH(Table1[[#This Row],[Announcement_Date]],0)</f>
        <v>45869</v>
      </c>
      <c r="C2" t="s">
        <v>11</v>
      </c>
      <c r="D2" t="s">
        <v>12</v>
      </c>
      <c r="E2" t="s">
        <v>13</v>
      </c>
      <c r="F2" t="str">
        <f>CONCATENATE(D2,"-",E2)</f>
        <v>Canada-NASDAQ</v>
      </c>
      <c r="G2" t="s">
        <v>14</v>
      </c>
      <c r="H2" t="s">
        <v>15</v>
      </c>
      <c r="I2" t="s">
        <v>16</v>
      </c>
      <c r="J2" t="s">
        <v>17</v>
      </c>
      <c r="K2" t="s">
        <v>18</v>
      </c>
      <c r="L2" t="s">
        <v>19</v>
      </c>
      <c r="M2" t="s">
        <v>20</v>
      </c>
    </row>
    <row r="3" spans="1:13" x14ac:dyDescent="0.35">
      <c r="A3" s="5">
        <v>46012</v>
      </c>
      <c r="B3" s="7">
        <f>EOMONTH(Table1[[#This Row],[Announcement_Date]],0)</f>
        <v>46022</v>
      </c>
      <c r="C3" t="s">
        <v>21</v>
      </c>
      <c r="D3" t="s">
        <v>22</v>
      </c>
      <c r="E3" t="s">
        <v>23</v>
      </c>
      <c r="F3" t="str">
        <f t="shared" ref="F3:F66" si="0">CONCATENATE(D3,"-",E3)</f>
        <v>USA-TSX</v>
      </c>
      <c r="G3" t="s">
        <v>14</v>
      </c>
      <c r="H3" t="s">
        <v>24</v>
      </c>
      <c r="I3" t="s">
        <v>25</v>
      </c>
      <c r="J3" t="s">
        <v>26</v>
      </c>
      <c r="K3" t="s">
        <v>18</v>
      </c>
      <c r="L3" t="s">
        <v>27</v>
      </c>
      <c r="M3" t="s">
        <v>20</v>
      </c>
    </row>
    <row r="4" spans="1:13" x14ac:dyDescent="0.35">
      <c r="A4" s="5">
        <v>45991</v>
      </c>
      <c r="B4" s="7">
        <f>EOMONTH(Table1[[#This Row],[Announcement_Date]],0)</f>
        <v>45991</v>
      </c>
      <c r="C4" t="s">
        <v>28</v>
      </c>
      <c r="D4" t="s">
        <v>12</v>
      </c>
      <c r="E4" t="s">
        <v>13</v>
      </c>
      <c r="F4" t="str">
        <f t="shared" si="0"/>
        <v>Canada-NASDAQ</v>
      </c>
      <c r="G4" t="s">
        <v>29</v>
      </c>
      <c r="H4" t="s">
        <v>30</v>
      </c>
      <c r="I4" t="s">
        <v>31</v>
      </c>
      <c r="J4" t="s">
        <v>17</v>
      </c>
      <c r="K4" t="s">
        <v>18</v>
      </c>
      <c r="L4" t="s">
        <v>19</v>
      </c>
      <c r="M4" t="s">
        <v>20</v>
      </c>
    </row>
    <row r="5" spans="1:13" x14ac:dyDescent="0.35">
      <c r="A5" s="5">
        <v>45885</v>
      </c>
      <c r="B5" s="7">
        <f>EOMONTH(Table1[[#This Row],[Announcement_Date]],0)</f>
        <v>45900</v>
      </c>
      <c r="C5" t="s">
        <v>32</v>
      </c>
      <c r="D5" t="s">
        <v>12</v>
      </c>
      <c r="E5" t="s">
        <v>33</v>
      </c>
      <c r="F5" t="str">
        <f t="shared" si="0"/>
        <v>Canada-NYSE</v>
      </c>
      <c r="G5" t="s">
        <v>34</v>
      </c>
      <c r="H5" t="s">
        <v>35</v>
      </c>
      <c r="I5" t="s">
        <v>25</v>
      </c>
      <c r="J5" t="s">
        <v>36</v>
      </c>
      <c r="K5" t="s">
        <v>37</v>
      </c>
      <c r="L5" t="s">
        <v>27</v>
      </c>
      <c r="M5" t="s">
        <v>20</v>
      </c>
    </row>
    <row r="6" spans="1:13" x14ac:dyDescent="0.35">
      <c r="A6" s="5">
        <v>45983</v>
      </c>
      <c r="B6" s="7">
        <f>EOMONTH(Table1[[#This Row],[Announcement_Date]],0)</f>
        <v>45991</v>
      </c>
      <c r="C6" t="s">
        <v>38</v>
      </c>
      <c r="D6" t="s">
        <v>12</v>
      </c>
      <c r="E6" t="s">
        <v>13</v>
      </c>
      <c r="F6" t="str">
        <f t="shared" si="0"/>
        <v>Canada-NASDAQ</v>
      </c>
      <c r="G6" t="s">
        <v>29</v>
      </c>
      <c r="H6" t="s">
        <v>39</v>
      </c>
      <c r="I6" t="s">
        <v>16</v>
      </c>
      <c r="J6" t="s">
        <v>17</v>
      </c>
      <c r="K6" t="s">
        <v>40</v>
      </c>
      <c r="L6" t="s">
        <v>41</v>
      </c>
      <c r="M6" t="s">
        <v>42</v>
      </c>
    </row>
    <row r="7" spans="1:13" x14ac:dyDescent="0.35">
      <c r="A7" s="5">
        <v>45957</v>
      </c>
      <c r="B7" s="7">
        <f>EOMONTH(Table1[[#This Row],[Announcement_Date]],0)</f>
        <v>45961</v>
      </c>
      <c r="C7" t="s">
        <v>21</v>
      </c>
      <c r="D7" t="s">
        <v>22</v>
      </c>
      <c r="E7" t="s">
        <v>23</v>
      </c>
      <c r="F7" t="str">
        <f t="shared" si="0"/>
        <v>USA-TSX</v>
      </c>
      <c r="G7" t="s">
        <v>43</v>
      </c>
      <c r="H7" t="s">
        <v>44</v>
      </c>
      <c r="I7" t="s">
        <v>31</v>
      </c>
      <c r="J7" t="s">
        <v>26</v>
      </c>
      <c r="K7" t="s">
        <v>45</v>
      </c>
      <c r="L7" t="s">
        <v>27</v>
      </c>
      <c r="M7" t="s">
        <v>42</v>
      </c>
    </row>
    <row r="8" spans="1:13" x14ac:dyDescent="0.35">
      <c r="A8" s="5">
        <v>46027</v>
      </c>
      <c r="B8" s="7">
        <f>EOMONTH(Table1[[#This Row],[Announcement_Date]],0)</f>
        <v>46053</v>
      </c>
      <c r="C8" t="s">
        <v>46</v>
      </c>
      <c r="D8" t="s">
        <v>12</v>
      </c>
      <c r="E8" t="s">
        <v>33</v>
      </c>
      <c r="F8" t="str">
        <f t="shared" si="0"/>
        <v>Canada-NYSE</v>
      </c>
      <c r="G8" t="s">
        <v>47</v>
      </c>
      <c r="H8" t="s">
        <v>48</v>
      </c>
      <c r="I8" t="s">
        <v>31</v>
      </c>
      <c r="J8" t="s">
        <v>17</v>
      </c>
      <c r="K8" t="s">
        <v>49</v>
      </c>
      <c r="L8" t="s">
        <v>27</v>
      </c>
      <c r="M8" t="s">
        <v>42</v>
      </c>
    </row>
    <row r="9" spans="1:13" x14ac:dyDescent="0.35">
      <c r="A9" s="5">
        <v>45803</v>
      </c>
      <c r="B9" s="7">
        <f>EOMONTH(Table1[[#This Row],[Announcement_Date]],0)</f>
        <v>45808</v>
      </c>
      <c r="C9" t="s">
        <v>50</v>
      </c>
      <c r="D9" t="s">
        <v>12</v>
      </c>
      <c r="E9" t="s">
        <v>23</v>
      </c>
      <c r="F9" t="str">
        <f t="shared" si="0"/>
        <v>Canada-TSX</v>
      </c>
      <c r="G9" t="s">
        <v>43</v>
      </c>
      <c r="H9" t="s">
        <v>51</v>
      </c>
      <c r="I9" t="s">
        <v>31</v>
      </c>
      <c r="J9" t="s">
        <v>17</v>
      </c>
      <c r="K9" t="s">
        <v>52</v>
      </c>
      <c r="L9" t="s">
        <v>41</v>
      </c>
      <c r="M9" t="s">
        <v>42</v>
      </c>
    </row>
    <row r="10" spans="1:13" x14ac:dyDescent="0.35">
      <c r="A10" s="5">
        <v>45787</v>
      </c>
      <c r="B10" s="7">
        <f>EOMONTH(Table1[[#This Row],[Announcement_Date]],0)</f>
        <v>45808</v>
      </c>
      <c r="C10" t="s">
        <v>53</v>
      </c>
      <c r="D10" t="s">
        <v>22</v>
      </c>
      <c r="E10" t="s">
        <v>23</v>
      </c>
      <c r="F10" t="str">
        <f t="shared" si="0"/>
        <v>USA-TSX</v>
      </c>
      <c r="G10" t="s">
        <v>34</v>
      </c>
      <c r="H10" t="s">
        <v>54</v>
      </c>
      <c r="I10" t="s">
        <v>25</v>
      </c>
      <c r="J10" t="s">
        <v>26</v>
      </c>
      <c r="K10" t="s">
        <v>37</v>
      </c>
      <c r="L10" t="s">
        <v>41</v>
      </c>
      <c r="M10" t="s">
        <v>55</v>
      </c>
    </row>
    <row r="11" spans="1:13" x14ac:dyDescent="0.35">
      <c r="A11" s="5">
        <v>45887</v>
      </c>
      <c r="B11" s="7">
        <f>EOMONTH(Table1[[#This Row],[Announcement_Date]],0)</f>
        <v>45900</v>
      </c>
      <c r="C11" t="s">
        <v>56</v>
      </c>
      <c r="D11" t="s">
        <v>12</v>
      </c>
      <c r="E11" t="s">
        <v>33</v>
      </c>
      <c r="F11" t="str">
        <f t="shared" si="0"/>
        <v>Canada-NYSE</v>
      </c>
      <c r="G11" t="s">
        <v>57</v>
      </c>
      <c r="H11" t="s">
        <v>58</v>
      </c>
      <c r="I11" t="s">
        <v>25</v>
      </c>
      <c r="J11" t="s">
        <v>17</v>
      </c>
      <c r="K11" t="s">
        <v>52</v>
      </c>
      <c r="L11" t="s">
        <v>19</v>
      </c>
      <c r="M11" t="s">
        <v>42</v>
      </c>
    </row>
    <row r="12" spans="1:13" x14ac:dyDescent="0.35">
      <c r="A12" s="5">
        <v>45907</v>
      </c>
      <c r="B12" s="7">
        <f>EOMONTH(Table1[[#This Row],[Announcement_Date]],0)</f>
        <v>45930</v>
      </c>
      <c r="C12" t="s">
        <v>32</v>
      </c>
      <c r="D12" t="s">
        <v>22</v>
      </c>
      <c r="E12" t="s">
        <v>13</v>
      </c>
      <c r="F12" t="str">
        <f t="shared" si="0"/>
        <v>USA-NASDAQ</v>
      </c>
      <c r="G12" t="s">
        <v>47</v>
      </c>
      <c r="H12" t="s">
        <v>59</v>
      </c>
      <c r="I12" t="s">
        <v>25</v>
      </c>
      <c r="J12" t="s">
        <v>26</v>
      </c>
      <c r="K12" t="s">
        <v>49</v>
      </c>
      <c r="L12" t="s">
        <v>27</v>
      </c>
      <c r="M12" t="s">
        <v>55</v>
      </c>
    </row>
    <row r="13" spans="1:13" x14ac:dyDescent="0.35">
      <c r="A13" s="5">
        <v>46111</v>
      </c>
      <c r="B13" s="7">
        <f>EOMONTH(Table1[[#This Row],[Announcement_Date]],0)</f>
        <v>46112</v>
      </c>
      <c r="C13" t="s">
        <v>21</v>
      </c>
      <c r="D13" t="s">
        <v>22</v>
      </c>
      <c r="E13" t="s">
        <v>23</v>
      </c>
      <c r="F13" t="str">
        <f t="shared" si="0"/>
        <v>USA-TSX</v>
      </c>
      <c r="G13" t="s">
        <v>47</v>
      </c>
      <c r="H13" t="s">
        <v>60</v>
      </c>
      <c r="I13" t="s">
        <v>16</v>
      </c>
      <c r="J13" t="s">
        <v>36</v>
      </c>
      <c r="K13" t="s">
        <v>52</v>
      </c>
      <c r="L13" t="s">
        <v>19</v>
      </c>
      <c r="M13" t="s">
        <v>20</v>
      </c>
    </row>
    <row r="14" spans="1:13" x14ac:dyDescent="0.35">
      <c r="A14" s="5">
        <v>46084</v>
      </c>
      <c r="B14" s="7">
        <f>EOMONTH(Table1[[#This Row],[Announcement_Date]],0)</f>
        <v>46112</v>
      </c>
      <c r="C14" t="s">
        <v>28</v>
      </c>
      <c r="D14" t="s">
        <v>12</v>
      </c>
      <c r="E14" t="s">
        <v>13</v>
      </c>
      <c r="F14" t="str">
        <f t="shared" si="0"/>
        <v>Canada-NASDAQ</v>
      </c>
      <c r="G14" t="s">
        <v>57</v>
      </c>
      <c r="H14" t="s">
        <v>61</v>
      </c>
      <c r="I14" t="s">
        <v>31</v>
      </c>
      <c r="J14" t="s">
        <v>36</v>
      </c>
      <c r="K14" t="s">
        <v>52</v>
      </c>
      <c r="L14" t="s">
        <v>27</v>
      </c>
      <c r="M14" t="s">
        <v>55</v>
      </c>
    </row>
    <row r="15" spans="1:13" x14ac:dyDescent="0.35">
      <c r="A15" s="5">
        <v>45930</v>
      </c>
      <c r="B15" s="7">
        <f>EOMONTH(Table1[[#This Row],[Announcement_Date]],0)</f>
        <v>45930</v>
      </c>
      <c r="C15" t="s">
        <v>62</v>
      </c>
      <c r="D15" t="s">
        <v>22</v>
      </c>
      <c r="E15" t="s">
        <v>33</v>
      </c>
      <c r="F15" t="str">
        <f t="shared" si="0"/>
        <v>USA-NYSE</v>
      </c>
      <c r="G15" t="s">
        <v>47</v>
      </c>
      <c r="H15" t="s">
        <v>63</v>
      </c>
      <c r="I15" t="s">
        <v>16</v>
      </c>
      <c r="J15" t="s">
        <v>17</v>
      </c>
      <c r="K15" t="s">
        <v>64</v>
      </c>
      <c r="L15" t="s">
        <v>27</v>
      </c>
      <c r="M15" t="s">
        <v>42</v>
      </c>
    </row>
    <row r="16" spans="1:13" x14ac:dyDescent="0.35">
      <c r="A16" s="5">
        <v>45886</v>
      </c>
      <c r="B16" s="7">
        <f>EOMONTH(Table1[[#This Row],[Announcement_Date]],0)</f>
        <v>45900</v>
      </c>
      <c r="C16" t="s">
        <v>50</v>
      </c>
      <c r="D16" t="s">
        <v>12</v>
      </c>
      <c r="E16" t="s">
        <v>23</v>
      </c>
      <c r="F16" t="str">
        <f t="shared" si="0"/>
        <v>Canada-TSX</v>
      </c>
      <c r="G16" t="s">
        <v>43</v>
      </c>
      <c r="H16" t="s">
        <v>65</v>
      </c>
      <c r="I16" t="s">
        <v>16</v>
      </c>
      <c r="J16" t="s">
        <v>36</v>
      </c>
      <c r="K16" t="s">
        <v>49</v>
      </c>
      <c r="L16" t="s">
        <v>27</v>
      </c>
      <c r="M16" t="s">
        <v>20</v>
      </c>
    </row>
    <row r="17" spans="1:13" x14ac:dyDescent="0.35">
      <c r="A17" s="5">
        <v>45830</v>
      </c>
      <c r="B17" s="7">
        <f>EOMONTH(Table1[[#This Row],[Announcement_Date]],0)</f>
        <v>45838</v>
      </c>
      <c r="C17" t="s">
        <v>53</v>
      </c>
      <c r="D17" t="s">
        <v>12</v>
      </c>
      <c r="E17" t="s">
        <v>33</v>
      </c>
      <c r="F17" t="str">
        <f t="shared" si="0"/>
        <v>Canada-NYSE</v>
      </c>
      <c r="G17" t="s">
        <v>43</v>
      </c>
      <c r="H17" t="s">
        <v>66</v>
      </c>
      <c r="I17" t="s">
        <v>16</v>
      </c>
      <c r="J17" t="s">
        <v>36</v>
      </c>
      <c r="K17" t="s">
        <v>18</v>
      </c>
      <c r="L17" t="s">
        <v>19</v>
      </c>
      <c r="M17" t="s">
        <v>20</v>
      </c>
    </row>
    <row r="18" spans="1:13" x14ac:dyDescent="0.35">
      <c r="A18" s="5">
        <v>45835</v>
      </c>
      <c r="B18" s="7">
        <f>EOMONTH(Table1[[#This Row],[Announcement_Date]],0)</f>
        <v>45838</v>
      </c>
      <c r="C18" t="s">
        <v>56</v>
      </c>
      <c r="D18" t="s">
        <v>22</v>
      </c>
      <c r="E18" t="s">
        <v>23</v>
      </c>
      <c r="F18" t="str">
        <f t="shared" si="0"/>
        <v>USA-TSX</v>
      </c>
      <c r="G18" t="s">
        <v>57</v>
      </c>
      <c r="H18" t="s">
        <v>67</v>
      </c>
      <c r="I18" t="s">
        <v>16</v>
      </c>
      <c r="J18" t="s">
        <v>26</v>
      </c>
      <c r="K18" t="s">
        <v>64</v>
      </c>
      <c r="L18" t="s">
        <v>27</v>
      </c>
      <c r="M18" t="s">
        <v>42</v>
      </c>
    </row>
    <row r="19" spans="1:13" x14ac:dyDescent="0.35">
      <c r="A19" s="5">
        <v>45844</v>
      </c>
      <c r="B19" s="7">
        <f>EOMONTH(Table1[[#This Row],[Announcement_Date]],0)</f>
        <v>45869</v>
      </c>
      <c r="C19" t="s">
        <v>46</v>
      </c>
      <c r="D19" t="s">
        <v>22</v>
      </c>
      <c r="E19" t="s">
        <v>23</v>
      </c>
      <c r="F19" t="str">
        <f t="shared" si="0"/>
        <v>USA-TSX</v>
      </c>
      <c r="G19" t="s">
        <v>14</v>
      </c>
      <c r="H19" t="s">
        <v>68</v>
      </c>
      <c r="I19" t="s">
        <v>25</v>
      </c>
      <c r="J19" t="s">
        <v>36</v>
      </c>
      <c r="K19" t="s">
        <v>18</v>
      </c>
      <c r="L19" t="s">
        <v>27</v>
      </c>
      <c r="M19" t="s">
        <v>55</v>
      </c>
    </row>
    <row r="20" spans="1:13" x14ac:dyDescent="0.35">
      <c r="A20" s="5">
        <v>45869</v>
      </c>
      <c r="B20" s="7">
        <f>EOMONTH(Table1[[#This Row],[Announcement_Date]],0)</f>
        <v>45869</v>
      </c>
      <c r="C20" t="s">
        <v>69</v>
      </c>
      <c r="D20" t="s">
        <v>22</v>
      </c>
      <c r="E20" t="s">
        <v>13</v>
      </c>
      <c r="F20" t="str">
        <f t="shared" si="0"/>
        <v>USA-NASDAQ</v>
      </c>
      <c r="G20" t="s">
        <v>57</v>
      </c>
      <c r="H20" t="s">
        <v>70</v>
      </c>
      <c r="I20" t="s">
        <v>31</v>
      </c>
      <c r="J20" t="s">
        <v>17</v>
      </c>
      <c r="K20" t="s">
        <v>64</v>
      </c>
      <c r="L20" t="s">
        <v>27</v>
      </c>
      <c r="M20" t="s">
        <v>55</v>
      </c>
    </row>
    <row r="21" spans="1:13" x14ac:dyDescent="0.35">
      <c r="A21" s="5">
        <v>45956</v>
      </c>
      <c r="B21" s="7">
        <f>EOMONTH(Table1[[#This Row],[Announcement_Date]],0)</f>
        <v>45961</v>
      </c>
      <c r="C21" t="s">
        <v>38</v>
      </c>
      <c r="D21" t="s">
        <v>22</v>
      </c>
      <c r="E21" t="s">
        <v>23</v>
      </c>
      <c r="F21" t="str">
        <f t="shared" si="0"/>
        <v>USA-TSX</v>
      </c>
      <c r="G21" t="s">
        <v>43</v>
      </c>
      <c r="H21" t="s">
        <v>71</v>
      </c>
      <c r="I21" t="s">
        <v>25</v>
      </c>
      <c r="J21" t="s">
        <v>26</v>
      </c>
      <c r="K21" t="s">
        <v>64</v>
      </c>
      <c r="L21" t="s">
        <v>27</v>
      </c>
      <c r="M21" t="s">
        <v>20</v>
      </c>
    </row>
    <row r="22" spans="1:13" x14ac:dyDescent="0.35">
      <c r="A22" s="5">
        <v>45791</v>
      </c>
      <c r="B22" s="7">
        <f>EOMONTH(Table1[[#This Row],[Announcement_Date]],0)</f>
        <v>45808</v>
      </c>
      <c r="C22" t="s">
        <v>50</v>
      </c>
      <c r="D22" t="s">
        <v>12</v>
      </c>
      <c r="E22" t="s">
        <v>33</v>
      </c>
      <c r="F22" t="str">
        <f t="shared" si="0"/>
        <v>Canada-NYSE</v>
      </c>
      <c r="G22" t="s">
        <v>29</v>
      </c>
      <c r="H22" t="s">
        <v>72</v>
      </c>
      <c r="I22" t="s">
        <v>31</v>
      </c>
      <c r="J22" t="s">
        <v>17</v>
      </c>
      <c r="K22" t="s">
        <v>64</v>
      </c>
      <c r="L22" t="s">
        <v>41</v>
      </c>
      <c r="M22" t="s">
        <v>20</v>
      </c>
    </row>
    <row r="23" spans="1:13" x14ac:dyDescent="0.35">
      <c r="A23" s="5">
        <v>45887</v>
      </c>
      <c r="B23" s="7">
        <f>EOMONTH(Table1[[#This Row],[Announcement_Date]],0)</f>
        <v>45900</v>
      </c>
      <c r="C23" t="s">
        <v>53</v>
      </c>
      <c r="D23" t="s">
        <v>22</v>
      </c>
      <c r="E23" t="s">
        <v>23</v>
      </c>
      <c r="F23" t="str">
        <f t="shared" si="0"/>
        <v>USA-TSX</v>
      </c>
      <c r="G23" t="s">
        <v>29</v>
      </c>
      <c r="H23" t="s">
        <v>73</v>
      </c>
      <c r="I23" t="s">
        <v>31</v>
      </c>
      <c r="J23" t="s">
        <v>36</v>
      </c>
      <c r="K23" t="s">
        <v>40</v>
      </c>
      <c r="L23" t="s">
        <v>41</v>
      </c>
      <c r="M23" t="s">
        <v>20</v>
      </c>
    </row>
    <row r="24" spans="1:13" x14ac:dyDescent="0.35">
      <c r="A24" s="5">
        <v>45774</v>
      </c>
      <c r="B24" s="7">
        <f>EOMONTH(Table1[[#This Row],[Announcement_Date]],0)</f>
        <v>45777</v>
      </c>
      <c r="C24" t="s">
        <v>50</v>
      </c>
      <c r="D24" t="s">
        <v>12</v>
      </c>
      <c r="E24" t="s">
        <v>13</v>
      </c>
      <c r="F24" t="str">
        <f t="shared" si="0"/>
        <v>Canada-NASDAQ</v>
      </c>
      <c r="G24" t="s">
        <v>34</v>
      </c>
      <c r="H24" t="s">
        <v>74</v>
      </c>
      <c r="I24" t="s">
        <v>25</v>
      </c>
      <c r="J24" t="s">
        <v>36</v>
      </c>
      <c r="K24" t="s">
        <v>45</v>
      </c>
      <c r="L24" t="s">
        <v>41</v>
      </c>
      <c r="M24" t="s">
        <v>42</v>
      </c>
    </row>
    <row r="25" spans="1:13" x14ac:dyDescent="0.35">
      <c r="A25" s="5">
        <v>46085</v>
      </c>
      <c r="B25" s="7">
        <f>EOMONTH(Table1[[#This Row],[Announcement_Date]],0)</f>
        <v>46112</v>
      </c>
      <c r="C25" t="s">
        <v>75</v>
      </c>
      <c r="D25" t="s">
        <v>22</v>
      </c>
      <c r="E25" t="s">
        <v>23</v>
      </c>
      <c r="F25" t="str">
        <f t="shared" si="0"/>
        <v>USA-TSX</v>
      </c>
      <c r="G25" t="s">
        <v>47</v>
      </c>
      <c r="H25" t="s">
        <v>76</v>
      </c>
      <c r="I25" t="s">
        <v>31</v>
      </c>
      <c r="J25" t="s">
        <v>26</v>
      </c>
      <c r="K25" t="s">
        <v>64</v>
      </c>
      <c r="L25" t="s">
        <v>41</v>
      </c>
      <c r="M25" t="s">
        <v>55</v>
      </c>
    </row>
    <row r="26" spans="1:13" x14ac:dyDescent="0.35">
      <c r="A26" s="5">
        <v>45870</v>
      </c>
      <c r="B26" s="7">
        <f>EOMONTH(Table1[[#This Row],[Announcement_Date]],0)</f>
        <v>45900</v>
      </c>
      <c r="C26" t="s">
        <v>11</v>
      </c>
      <c r="D26" t="s">
        <v>22</v>
      </c>
      <c r="E26" t="s">
        <v>13</v>
      </c>
      <c r="F26" t="str">
        <f t="shared" si="0"/>
        <v>USA-NASDAQ</v>
      </c>
      <c r="G26" t="s">
        <v>14</v>
      </c>
      <c r="H26" t="s">
        <v>77</v>
      </c>
      <c r="I26" t="s">
        <v>31</v>
      </c>
      <c r="J26" t="s">
        <v>17</v>
      </c>
      <c r="K26" t="s">
        <v>45</v>
      </c>
      <c r="L26" t="s">
        <v>27</v>
      </c>
      <c r="M26" t="s">
        <v>42</v>
      </c>
    </row>
    <row r="27" spans="1:13" x14ac:dyDescent="0.35">
      <c r="A27" s="5">
        <v>45917</v>
      </c>
      <c r="B27" s="7">
        <f>EOMONTH(Table1[[#This Row],[Announcement_Date]],0)</f>
        <v>45930</v>
      </c>
      <c r="C27" t="s">
        <v>46</v>
      </c>
      <c r="D27" t="s">
        <v>12</v>
      </c>
      <c r="E27" t="s">
        <v>33</v>
      </c>
      <c r="F27" t="str">
        <f t="shared" si="0"/>
        <v>Canada-NYSE</v>
      </c>
      <c r="G27" t="s">
        <v>29</v>
      </c>
      <c r="H27" t="s">
        <v>78</v>
      </c>
      <c r="I27" t="s">
        <v>31</v>
      </c>
      <c r="J27" t="s">
        <v>26</v>
      </c>
      <c r="K27" t="s">
        <v>64</v>
      </c>
      <c r="L27" t="s">
        <v>41</v>
      </c>
      <c r="M27" t="s">
        <v>20</v>
      </c>
    </row>
    <row r="28" spans="1:13" x14ac:dyDescent="0.35">
      <c r="A28" s="5">
        <v>46034</v>
      </c>
      <c r="B28" s="7">
        <f>EOMONTH(Table1[[#This Row],[Announcement_Date]],0)</f>
        <v>46053</v>
      </c>
      <c r="C28" t="s">
        <v>79</v>
      </c>
      <c r="D28" t="s">
        <v>12</v>
      </c>
      <c r="E28" t="s">
        <v>13</v>
      </c>
      <c r="F28" t="str">
        <f t="shared" si="0"/>
        <v>Canada-NASDAQ</v>
      </c>
      <c r="G28" t="s">
        <v>43</v>
      </c>
      <c r="H28" t="s">
        <v>80</v>
      </c>
      <c r="I28" t="s">
        <v>16</v>
      </c>
      <c r="J28" t="s">
        <v>26</v>
      </c>
      <c r="K28" t="s">
        <v>45</v>
      </c>
      <c r="L28" t="s">
        <v>27</v>
      </c>
      <c r="M28" t="s">
        <v>20</v>
      </c>
    </row>
    <row r="29" spans="1:13" x14ac:dyDescent="0.35">
      <c r="A29" s="5">
        <v>45948</v>
      </c>
      <c r="B29" s="7">
        <f>EOMONTH(Table1[[#This Row],[Announcement_Date]],0)</f>
        <v>45961</v>
      </c>
      <c r="C29" t="s">
        <v>21</v>
      </c>
      <c r="D29" t="s">
        <v>12</v>
      </c>
      <c r="E29" t="s">
        <v>33</v>
      </c>
      <c r="F29" t="str">
        <f t="shared" si="0"/>
        <v>Canada-NYSE</v>
      </c>
      <c r="G29" t="s">
        <v>34</v>
      </c>
      <c r="H29" t="s">
        <v>81</v>
      </c>
      <c r="I29" t="s">
        <v>25</v>
      </c>
      <c r="J29" t="s">
        <v>17</v>
      </c>
      <c r="K29" t="s">
        <v>45</v>
      </c>
      <c r="L29" t="s">
        <v>27</v>
      </c>
      <c r="M29" t="s">
        <v>42</v>
      </c>
    </row>
    <row r="30" spans="1:13" x14ac:dyDescent="0.35">
      <c r="A30" s="5">
        <v>45999</v>
      </c>
      <c r="B30" s="7">
        <f>EOMONTH(Table1[[#This Row],[Announcement_Date]],0)</f>
        <v>46022</v>
      </c>
      <c r="C30" t="s">
        <v>32</v>
      </c>
      <c r="D30" t="s">
        <v>12</v>
      </c>
      <c r="E30" t="s">
        <v>23</v>
      </c>
      <c r="F30" t="str">
        <f t="shared" si="0"/>
        <v>Canada-TSX</v>
      </c>
      <c r="G30" t="s">
        <v>14</v>
      </c>
      <c r="H30" t="s">
        <v>82</v>
      </c>
      <c r="I30" t="s">
        <v>31</v>
      </c>
      <c r="J30" t="s">
        <v>17</v>
      </c>
      <c r="K30" t="s">
        <v>52</v>
      </c>
      <c r="L30" t="s">
        <v>41</v>
      </c>
      <c r="M30" t="s">
        <v>20</v>
      </c>
    </row>
    <row r="31" spans="1:13" x14ac:dyDescent="0.35">
      <c r="A31" s="5">
        <v>45779</v>
      </c>
      <c r="B31" s="7">
        <f>EOMONTH(Table1[[#This Row],[Announcement_Date]],0)</f>
        <v>45808</v>
      </c>
      <c r="C31" t="s">
        <v>38</v>
      </c>
      <c r="D31" t="s">
        <v>22</v>
      </c>
      <c r="E31" t="s">
        <v>13</v>
      </c>
      <c r="F31" t="str">
        <f t="shared" si="0"/>
        <v>USA-NASDAQ</v>
      </c>
      <c r="G31" t="s">
        <v>43</v>
      </c>
      <c r="H31" t="s">
        <v>83</v>
      </c>
      <c r="I31" t="s">
        <v>31</v>
      </c>
      <c r="J31" t="s">
        <v>36</v>
      </c>
      <c r="K31" t="s">
        <v>64</v>
      </c>
      <c r="L31" t="s">
        <v>41</v>
      </c>
      <c r="M31" t="s">
        <v>42</v>
      </c>
    </row>
    <row r="32" spans="1:13" x14ac:dyDescent="0.35">
      <c r="A32" s="5">
        <v>46062</v>
      </c>
      <c r="B32" s="7">
        <f>EOMONTH(Table1[[#This Row],[Announcement_Date]],0)</f>
        <v>46081</v>
      </c>
      <c r="C32" t="s">
        <v>75</v>
      </c>
      <c r="D32" t="s">
        <v>22</v>
      </c>
      <c r="E32" t="s">
        <v>33</v>
      </c>
      <c r="F32" t="str">
        <f t="shared" si="0"/>
        <v>USA-NYSE</v>
      </c>
      <c r="G32" t="s">
        <v>57</v>
      </c>
      <c r="H32" t="s">
        <v>84</v>
      </c>
      <c r="I32" t="s">
        <v>25</v>
      </c>
      <c r="J32" t="s">
        <v>26</v>
      </c>
      <c r="K32" t="s">
        <v>45</v>
      </c>
      <c r="L32" t="s">
        <v>41</v>
      </c>
      <c r="M32" t="s">
        <v>42</v>
      </c>
    </row>
    <row r="33" spans="1:13" x14ac:dyDescent="0.35">
      <c r="A33" s="5">
        <v>45817</v>
      </c>
      <c r="B33" s="7">
        <f>EOMONTH(Table1[[#This Row],[Announcement_Date]],0)</f>
        <v>45838</v>
      </c>
      <c r="C33" t="s">
        <v>46</v>
      </c>
      <c r="D33" t="s">
        <v>22</v>
      </c>
      <c r="E33" t="s">
        <v>33</v>
      </c>
      <c r="F33" t="str">
        <f t="shared" si="0"/>
        <v>USA-NYSE</v>
      </c>
      <c r="G33" t="s">
        <v>34</v>
      </c>
      <c r="H33" t="s">
        <v>85</v>
      </c>
      <c r="I33" t="s">
        <v>31</v>
      </c>
      <c r="J33" t="s">
        <v>36</v>
      </c>
      <c r="K33" t="s">
        <v>52</v>
      </c>
      <c r="L33" t="s">
        <v>27</v>
      </c>
      <c r="M33" t="s">
        <v>55</v>
      </c>
    </row>
    <row r="34" spans="1:13" x14ac:dyDescent="0.35">
      <c r="A34" s="5">
        <v>45789</v>
      </c>
      <c r="B34" s="7">
        <f>EOMONTH(Table1[[#This Row],[Announcement_Date]],0)</f>
        <v>45808</v>
      </c>
      <c r="C34" t="s">
        <v>50</v>
      </c>
      <c r="D34" t="s">
        <v>12</v>
      </c>
      <c r="E34" t="s">
        <v>13</v>
      </c>
      <c r="F34" t="str">
        <f t="shared" si="0"/>
        <v>Canada-NASDAQ</v>
      </c>
      <c r="G34" t="s">
        <v>57</v>
      </c>
      <c r="H34" t="s">
        <v>86</v>
      </c>
      <c r="I34" t="s">
        <v>25</v>
      </c>
      <c r="J34" t="s">
        <v>17</v>
      </c>
      <c r="K34" t="s">
        <v>45</v>
      </c>
      <c r="L34" t="s">
        <v>27</v>
      </c>
      <c r="M34" t="s">
        <v>55</v>
      </c>
    </row>
    <row r="35" spans="1:13" x14ac:dyDescent="0.35">
      <c r="A35" s="5">
        <v>45943</v>
      </c>
      <c r="B35" s="7">
        <f>EOMONTH(Table1[[#This Row],[Announcement_Date]],0)</f>
        <v>45961</v>
      </c>
      <c r="C35" t="s">
        <v>28</v>
      </c>
      <c r="D35" t="s">
        <v>22</v>
      </c>
      <c r="E35" t="s">
        <v>23</v>
      </c>
      <c r="F35" t="str">
        <f t="shared" si="0"/>
        <v>USA-TSX</v>
      </c>
      <c r="G35" t="s">
        <v>43</v>
      </c>
      <c r="H35" t="s">
        <v>87</v>
      </c>
      <c r="I35" t="s">
        <v>31</v>
      </c>
      <c r="J35" t="s">
        <v>26</v>
      </c>
      <c r="K35" t="s">
        <v>52</v>
      </c>
      <c r="L35" t="s">
        <v>41</v>
      </c>
      <c r="M35" t="s">
        <v>42</v>
      </c>
    </row>
    <row r="36" spans="1:13" x14ac:dyDescent="0.35">
      <c r="A36" s="5">
        <v>45806</v>
      </c>
      <c r="B36" s="7">
        <f>EOMONTH(Table1[[#This Row],[Announcement_Date]],0)</f>
        <v>45808</v>
      </c>
      <c r="C36" t="s">
        <v>88</v>
      </c>
      <c r="D36" t="s">
        <v>12</v>
      </c>
      <c r="E36" t="s">
        <v>33</v>
      </c>
      <c r="F36" t="str">
        <f t="shared" si="0"/>
        <v>Canada-NYSE</v>
      </c>
      <c r="G36" t="s">
        <v>57</v>
      </c>
      <c r="H36" t="s">
        <v>89</v>
      </c>
      <c r="I36" t="s">
        <v>25</v>
      </c>
      <c r="J36" t="s">
        <v>26</v>
      </c>
      <c r="K36" t="s">
        <v>45</v>
      </c>
      <c r="L36" t="s">
        <v>19</v>
      </c>
      <c r="M36" t="s">
        <v>55</v>
      </c>
    </row>
    <row r="37" spans="1:13" x14ac:dyDescent="0.35">
      <c r="A37" s="5">
        <v>45829</v>
      </c>
      <c r="B37" s="7">
        <f>EOMONTH(Table1[[#This Row],[Announcement_Date]],0)</f>
        <v>45838</v>
      </c>
      <c r="C37" t="s">
        <v>62</v>
      </c>
      <c r="D37" t="s">
        <v>22</v>
      </c>
      <c r="E37" t="s">
        <v>23</v>
      </c>
      <c r="F37" t="str">
        <f t="shared" si="0"/>
        <v>USA-TSX</v>
      </c>
      <c r="G37" t="s">
        <v>57</v>
      </c>
      <c r="H37" t="s">
        <v>90</v>
      </c>
      <c r="I37" t="s">
        <v>25</v>
      </c>
      <c r="J37" t="s">
        <v>17</v>
      </c>
      <c r="K37" t="s">
        <v>49</v>
      </c>
      <c r="L37" t="s">
        <v>27</v>
      </c>
      <c r="M37" t="s">
        <v>20</v>
      </c>
    </row>
    <row r="38" spans="1:13" x14ac:dyDescent="0.35">
      <c r="A38" s="5">
        <v>45913</v>
      </c>
      <c r="B38" s="7">
        <f>EOMONTH(Table1[[#This Row],[Announcement_Date]],0)</f>
        <v>45930</v>
      </c>
      <c r="C38" t="s">
        <v>62</v>
      </c>
      <c r="D38" t="s">
        <v>12</v>
      </c>
      <c r="E38" t="s">
        <v>13</v>
      </c>
      <c r="F38" t="str">
        <f t="shared" si="0"/>
        <v>Canada-NASDAQ</v>
      </c>
      <c r="G38" t="s">
        <v>14</v>
      </c>
      <c r="H38" t="s">
        <v>91</v>
      </c>
      <c r="I38" t="s">
        <v>16</v>
      </c>
      <c r="J38" t="s">
        <v>36</v>
      </c>
      <c r="K38" t="s">
        <v>45</v>
      </c>
      <c r="L38" t="s">
        <v>27</v>
      </c>
      <c r="M38" t="s">
        <v>42</v>
      </c>
    </row>
    <row r="39" spans="1:13" x14ac:dyDescent="0.35">
      <c r="A39" s="5">
        <v>46078</v>
      </c>
      <c r="B39" s="7">
        <f>EOMONTH(Table1[[#This Row],[Announcement_Date]],0)</f>
        <v>46081</v>
      </c>
      <c r="C39" t="s">
        <v>46</v>
      </c>
      <c r="D39" t="s">
        <v>12</v>
      </c>
      <c r="E39" t="s">
        <v>13</v>
      </c>
      <c r="F39" t="str">
        <f t="shared" si="0"/>
        <v>Canada-NASDAQ</v>
      </c>
      <c r="G39" t="s">
        <v>29</v>
      </c>
      <c r="H39" t="s">
        <v>92</v>
      </c>
      <c r="I39" t="s">
        <v>16</v>
      </c>
      <c r="J39" t="s">
        <v>26</v>
      </c>
      <c r="K39" t="s">
        <v>37</v>
      </c>
      <c r="L39" t="s">
        <v>27</v>
      </c>
      <c r="M39" t="s">
        <v>55</v>
      </c>
    </row>
    <row r="40" spans="1:13" x14ac:dyDescent="0.35">
      <c r="A40" s="5">
        <v>45993</v>
      </c>
      <c r="B40" s="7">
        <f>EOMONTH(Table1[[#This Row],[Announcement_Date]],0)</f>
        <v>46022</v>
      </c>
      <c r="C40" t="s">
        <v>50</v>
      </c>
      <c r="D40" t="s">
        <v>12</v>
      </c>
      <c r="E40" t="s">
        <v>13</v>
      </c>
      <c r="F40" t="str">
        <f t="shared" si="0"/>
        <v>Canada-NASDAQ</v>
      </c>
      <c r="G40" t="s">
        <v>34</v>
      </c>
      <c r="H40" t="s">
        <v>93</v>
      </c>
      <c r="I40" t="s">
        <v>25</v>
      </c>
      <c r="J40" t="s">
        <v>17</v>
      </c>
      <c r="K40" t="s">
        <v>18</v>
      </c>
      <c r="L40" t="s">
        <v>27</v>
      </c>
      <c r="M40" t="s">
        <v>42</v>
      </c>
    </row>
    <row r="41" spans="1:13" x14ac:dyDescent="0.35">
      <c r="A41" s="5">
        <v>46034</v>
      </c>
      <c r="B41" s="7">
        <f>EOMONTH(Table1[[#This Row],[Announcement_Date]],0)</f>
        <v>46053</v>
      </c>
      <c r="C41" t="s">
        <v>46</v>
      </c>
      <c r="D41" t="s">
        <v>12</v>
      </c>
      <c r="E41" t="s">
        <v>13</v>
      </c>
      <c r="F41" t="str">
        <f t="shared" si="0"/>
        <v>Canada-NASDAQ</v>
      </c>
      <c r="G41" t="s">
        <v>57</v>
      </c>
      <c r="H41" t="s">
        <v>94</v>
      </c>
      <c r="I41" t="s">
        <v>16</v>
      </c>
      <c r="J41" t="s">
        <v>36</v>
      </c>
      <c r="K41" t="s">
        <v>64</v>
      </c>
      <c r="L41" t="s">
        <v>41</v>
      </c>
      <c r="M41" t="s">
        <v>55</v>
      </c>
    </row>
    <row r="42" spans="1:13" x14ac:dyDescent="0.35">
      <c r="A42" s="5">
        <v>46104</v>
      </c>
      <c r="B42" s="7">
        <f>EOMONTH(Table1[[#This Row],[Announcement_Date]],0)</f>
        <v>46112</v>
      </c>
      <c r="C42" t="s">
        <v>53</v>
      </c>
      <c r="D42" t="s">
        <v>12</v>
      </c>
      <c r="E42" t="s">
        <v>33</v>
      </c>
      <c r="F42" t="str">
        <f t="shared" si="0"/>
        <v>Canada-NYSE</v>
      </c>
      <c r="G42" t="s">
        <v>47</v>
      </c>
      <c r="H42" t="s">
        <v>95</v>
      </c>
      <c r="I42" t="s">
        <v>16</v>
      </c>
      <c r="J42" t="s">
        <v>26</v>
      </c>
      <c r="K42" t="s">
        <v>37</v>
      </c>
      <c r="L42" t="s">
        <v>27</v>
      </c>
      <c r="M42" t="s">
        <v>20</v>
      </c>
    </row>
    <row r="43" spans="1:13" x14ac:dyDescent="0.35">
      <c r="A43" s="5">
        <v>45895</v>
      </c>
      <c r="B43" s="7">
        <f>EOMONTH(Table1[[#This Row],[Announcement_Date]],0)</f>
        <v>45900</v>
      </c>
      <c r="C43" t="s">
        <v>21</v>
      </c>
      <c r="D43" t="s">
        <v>22</v>
      </c>
      <c r="E43" t="s">
        <v>13</v>
      </c>
      <c r="F43" t="str">
        <f t="shared" si="0"/>
        <v>USA-NASDAQ</v>
      </c>
      <c r="G43" t="s">
        <v>47</v>
      </c>
      <c r="H43" t="s">
        <v>96</v>
      </c>
      <c r="I43" t="s">
        <v>16</v>
      </c>
      <c r="J43" t="s">
        <v>26</v>
      </c>
      <c r="K43" t="s">
        <v>40</v>
      </c>
      <c r="L43" t="s">
        <v>27</v>
      </c>
      <c r="M43" t="s">
        <v>55</v>
      </c>
    </row>
    <row r="44" spans="1:13" x14ac:dyDescent="0.35">
      <c r="A44" s="5">
        <v>46085</v>
      </c>
      <c r="B44" s="7">
        <f>EOMONTH(Table1[[#This Row],[Announcement_Date]],0)</f>
        <v>46112</v>
      </c>
      <c r="C44" t="s">
        <v>62</v>
      </c>
      <c r="D44" t="s">
        <v>22</v>
      </c>
      <c r="E44" t="s">
        <v>13</v>
      </c>
      <c r="F44" t="str">
        <f t="shared" si="0"/>
        <v>USA-NASDAQ</v>
      </c>
      <c r="G44" t="s">
        <v>43</v>
      </c>
      <c r="H44" t="s">
        <v>97</v>
      </c>
      <c r="I44" t="s">
        <v>31</v>
      </c>
      <c r="J44" t="s">
        <v>26</v>
      </c>
      <c r="K44" t="s">
        <v>40</v>
      </c>
      <c r="L44" t="s">
        <v>41</v>
      </c>
      <c r="M44" t="s">
        <v>42</v>
      </c>
    </row>
    <row r="45" spans="1:13" x14ac:dyDescent="0.35">
      <c r="A45" s="5">
        <v>46064</v>
      </c>
      <c r="B45" s="7">
        <f>EOMONTH(Table1[[#This Row],[Announcement_Date]],0)</f>
        <v>46081</v>
      </c>
      <c r="C45" t="s">
        <v>46</v>
      </c>
      <c r="D45" t="s">
        <v>12</v>
      </c>
      <c r="E45" t="s">
        <v>23</v>
      </c>
      <c r="F45" t="str">
        <f t="shared" si="0"/>
        <v>Canada-TSX</v>
      </c>
      <c r="G45" t="s">
        <v>34</v>
      </c>
      <c r="H45" t="s">
        <v>98</v>
      </c>
      <c r="I45" t="s">
        <v>25</v>
      </c>
      <c r="J45" t="s">
        <v>36</v>
      </c>
      <c r="K45" t="s">
        <v>40</v>
      </c>
      <c r="L45" t="s">
        <v>19</v>
      </c>
      <c r="M45" t="s">
        <v>20</v>
      </c>
    </row>
    <row r="46" spans="1:13" x14ac:dyDescent="0.35">
      <c r="A46" s="5">
        <v>45902</v>
      </c>
      <c r="B46" s="7">
        <f>EOMONTH(Table1[[#This Row],[Announcement_Date]],0)</f>
        <v>45930</v>
      </c>
      <c r="C46" t="s">
        <v>69</v>
      </c>
      <c r="D46" t="s">
        <v>22</v>
      </c>
      <c r="E46" t="s">
        <v>13</v>
      </c>
      <c r="F46" t="str">
        <f t="shared" si="0"/>
        <v>USA-NASDAQ</v>
      </c>
      <c r="G46" t="s">
        <v>47</v>
      </c>
      <c r="H46" t="s">
        <v>99</v>
      </c>
      <c r="I46" t="s">
        <v>25</v>
      </c>
      <c r="J46" t="s">
        <v>17</v>
      </c>
      <c r="K46" t="s">
        <v>40</v>
      </c>
      <c r="L46" t="s">
        <v>27</v>
      </c>
      <c r="M46" t="s">
        <v>20</v>
      </c>
    </row>
    <row r="47" spans="1:13" x14ac:dyDescent="0.35">
      <c r="A47" s="5">
        <v>46043</v>
      </c>
      <c r="B47" s="7">
        <f>EOMONTH(Table1[[#This Row],[Announcement_Date]],0)</f>
        <v>46053</v>
      </c>
      <c r="C47" t="s">
        <v>69</v>
      </c>
      <c r="D47" t="s">
        <v>12</v>
      </c>
      <c r="E47" t="s">
        <v>23</v>
      </c>
      <c r="F47" t="str">
        <f t="shared" si="0"/>
        <v>Canada-TSX</v>
      </c>
      <c r="G47" t="s">
        <v>47</v>
      </c>
      <c r="H47" t="s">
        <v>100</v>
      </c>
      <c r="I47" t="s">
        <v>25</v>
      </c>
      <c r="J47" t="s">
        <v>17</v>
      </c>
      <c r="K47" t="s">
        <v>37</v>
      </c>
      <c r="L47" t="s">
        <v>41</v>
      </c>
      <c r="M47" t="s">
        <v>20</v>
      </c>
    </row>
    <row r="48" spans="1:13" x14ac:dyDescent="0.35">
      <c r="A48" s="5">
        <v>46111</v>
      </c>
      <c r="B48" s="7">
        <f>EOMONTH(Table1[[#This Row],[Announcement_Date]],0)</f>
        <v>46112</v>
      </c>
      <c r="C48" t="s">
        <v>62</v>
      </c>
      <c r="D48" t="s">
        <v>22</v>
      </c>
      <c r="E48" t="s">
        <v>13</v>
      </c>
      <c r="F48" t="str">
        <f t="shared" si="0"/>
        <v>USA-NASDAQ</v>
      </c>
      <c r="G48" t="s">
        <v>43</v>
      </c>
      <c r="H48" t="s">
        <v>101</v>
      </c>
      <c r="I48" t="s">
        <v>16</v>
      </c>
      <c r="J48" t="s">
        <v>36</v>
      </c>
      <c r="K48" t="s">
        <v>45</v>
      </c>
      <c r="L48" t="s">
        <v>41</v>
      </c>
      <c r="M48" t="s">
        <v>20</v>
      </c>
    </row>
    <row r="49" spans="1:13" x14ac:dyDescent="0.35">
      <c r="A49" s="5">
        <v>45841</v>
      </c>
      <c r="B49" s="7">
        <f>EOMONTH(Table1[[#This Row],[Announcement_Date]],0)</f>
        <v>45869</v>
      </c>
      <c r="C49" t="s">
        <v>79</v>
      </c>
      <c r="D49" t="s">
        <v>12</v>
      </c>
      <c r="E49" t="s">
        <v>33</v>
      </c>
      <c r="F49" t="str">
        <f t="shared" si="0"/>
        <v>Canada-NYSE</v>
      </c>
      <c r="G49" t="s">
        <v>29</v>
      </c>
      <c r="H49" t="s">
        <v>102</v>
      </c>
      <c r="I49" t="s">
        <v>16</v>
      </c>
      <c r="J49" t="s">
        <v>36</v>
      </c>
      <c r="K49" t="s">
        <v>52</v>
      </c>
      <c r="L49" t="s">
        <v>27</v>
      </c>
      <c r="M49" t="s">
        <v>42</v>
      </c>
    </row>
    <row r="50" spans="1:13" x14ac:dyDescent="0.35">
      <c r="A50" s="5">
        <v>45877</v>
      </c>
      <c r="B50" s="7">
        <f>EOMONTH(Table1[[#This Row],[Announcement_Date]],0)</f>
        <v>45900</v>
      </c>
      <c r="C50" t="s">
        <v>62</v>
      </c>
      <c r="D50" t="s">
        <v>12</v>
      </c>
      <c r="E50" t="s">
        <v>33</v>
      </c>
      <c r="F50" t="str">
        <f t="shared" si="0"/>
        <v>Canada-NYSE</v>
      </c>
      <c r="G50" t="s">
        <v>14</v>
      </c>
      <c r="H50" t="s">
        <v>103</v>
      </c>
      <c r="I50" t="s">
        <v>16</v>
      </c>
      <c r="J50" t="s">
        <v>26</v>
      </c>
      <c r="K50" t="s">
        <v>37</v>
      </c>
      <c r="L50" t="s">
        <v>41</v>
      </c>
      <c r="M50" t="s">
        <v>55</v>
      </c>
    </row>
    <row r="51" spans="1:13" x14ac:dyDescent="0.35">
      <c r="A51" s="5">
        <v>45853</v>
      </c>
      <c r="B51" s="7">
        <f>EOMONTH(Table1[[#This Row],[Announcement_Date]],0)</f>
        <v>45869</v>
      </c>
      <c r="C51" t="s">
        <v>46</v>
      </c>
      <c r="D51" t="s">
        <v>12</v>
      </c>
      <c r="E51" t="s">
        <v>33</v>
      </c>
      <c r="F51" t="str">
        <f t="shared" si="0"/>
        <v>Canada-NYSE</v>
      </c>
      <c r="G51" t="s">
        <v>14</v>
      </c>
      <c r="H51" t="s">
        <v>104</v>
      </c>
      <c r="I51" t="s">
        <v>16</v>
      </c>
      <c r="J51" t="s">
        <v>36</v>
      </c>
      <c r="K51" t="s">
        <v>18</v>
      </c>
      <c r="L51" t="s">
        <v>19</v>
      </c>
      <c r="M51" t="s">
        <v>42</v>
      </c>
    </row>
    <row r="52" spans="1:13" x14ac:dyDescent="0.35">
      <c r="A52" s="5">
        <v>46055</v>
      </c>
      <c r="B52" s="7">
        <f>EOMONTH(Table1[[#This Row],[Announcement_Date]],0)</f>
        <v>46081</v>
      </c>
      <c r="C52" t="s">
        <v>69</v>
      </c>
      <c r="D52" t="s">
        <v>12</v>
      </c>
      <c r="E52" t="s">
        <v>23</v>
      </c>
      <c r="F52" t="str">
        <f t="shared" si="0"/>
        <v>Canada-TSX</v>
      </c>
      <c r="G52" t="s">
        <v>14</v>
      </c>
      <c r="H52" t="s">
        <v>105</v>
      </c>
      <c r="I52" t="s">
        <v>25</v>
      </c>
      <c r="J52" t="s">
        <v>26</v>
      </c>
      <c r="K52" t="s">
        <v>45</v>
      </c>
      <c r="L52" t="s">
        <v>27</v>
      </c>
      <c r="M52" t="s">
        <v>55</v>
      </c>
    </row>
    <row r="53" spans="1:13" x14ac:dyDescent="0.35">
      <c r="A53" s="5">
        <v>45805</v>
      </c>
      <c r="B53" s="7">
        <f>EOMONTH(Table1[[#This Row],[Announcement_Date]],0)</f>
        <v>45808</v>
      </c>
      <c r="C53" t="s">
        <v>21</v>
      </c>
      <c r="D53" t="s">
        <v>22</v>
      </c>
      <c r="E53" t="s">
        <v>33</v>
      </c>
      <c r="F53" t="str">
        <f t="shared" si="0"/>
        <v>USA-NYSE</v>
      </c>
      <c r="G53" t="s">
        <v>47</v>
      </c>
      <c r="H53" t="s">
        <v>106</v>
      </c>
      <c r="I53" t="s">
        <v>25</v>
      </c>
      <c r="J53" t="s">
        <v>17</v>
      </c>
      <c r="K53" t="s">
        <v>52</v>
      </c>
      <c r="L53" t="s">
        <v>41</v>
      </c>
      <c r="M53" t="s">
        <v>20</v>
      </c>
    </row>
    <row r="54" spans="1:13" x14ac:dyDescent="0.35">
      <c r="A54" s="5">
        <v>46086</v>
      </c>
      <c r="B54" s="7">
        <f>EOMONTH(Table1[[#This Row],[Announcement_Date]],0)</f>
        <v>46112</v>
      </c>
      <c r="C54" t="s">
        <v>11</v>
      </c>
      <c r="D54" t="s">
        <v>12</v>
      </c>
      <c r="E54" t="s">
        <v>33</v>
      </c>
      <c r="F54" t="str">
        <f t="shared" si="0"/>
        <v>Canada-NYSE</v>
      </c>
      <c r="G54" t="s">
        <v>14</v>
      </c>
      <c r="H54" t="s">
        <v>107</v>
      </c>
      <c r="I54" t="s">
        <v>25</v>
      </c>
      <c r="J54" t="s">
        <v>26</v>
      </c>
      <c r="K54" t="s">
        <v>64</v>
      </c>
      <c r="L54" t="s">
        <v>27</v>
      </c>
      <c r="M54" t="s">
        <v>20</v>
      </c>
    </row>
    <row r="55" spans="1:13" x14ac:dyDescent="0.35">
      <c r="A55" s="5">
        <v>45796</v>
      </c>
      <c r="B55" s="7">
        <f>EOMONTH(Table1[[#This Row],[Announcement_Date]],0)</f>
        <v>45808</v>
      </c>
      <c r="C55" t="s">
        <v>108</v>
      </c>
      <c r="D55" t="s">
        <v>12</v>
      </c>
      <c r="E55" t="s">
        <v>13</v>
      </c>
      <c r="F55" t="str">
        <f t="shared" si="0"/>
        <v>Canada-NASDAQ</v>
      </c>
      <c r="G55" t="s">
        <v>47</v>
      </c>
      <c r="H55" t="s">
        <v>109</v>
      </c>
      <c r="I55" t="s">
        <v>31</v>
      </c>
      <c r="J55" t="s">
        <v>36</v>
      </c>
      <c r="K55" t="s">
        <v>18</v>
      </c>
      <c r="L55" t="s">
        <v>27</v>
      </c>
      <c r="M55" t="s">
        <v>20</v>
      </c>
    </row>
    <row r="56" spans="1:13" x14ac:dyDescent="0.35">
      <c r="A56" s="5">
        <v>45846</v>
      </c>
      <c r="B56" s="7">
        <f>EOMONTH(Table1[[#This Row],[Announcement_Date]],0)</f>
        <v>45869</v>
      </c>
      <c r="C56" t="s">
        <v>11</v>
      </c>
      <c r="D56" t="s">
        <v>12</v>
      </c>
      <c r="E56" t="s">
        <v>23</v>
      </c>
      <c r="F56" t="str">
        <f t="shared" si="0"/>
        <v>Canada-TSX</v>
      </c>
      <c r="G56" t="s">
        <v>14</v>
      </c>
      <c r="H56" t="s">
        <v>110</v>
      </c>
      <c r="I56" t="s">
        <v>31</v>
      </c>
      <c r="J56" t="s">
        <v>17</v>
      </c>
      <c r="K56" t="s">
        <v>49</v>
      </c>
      <c r="L56" t="s">
        <v>41</v>
      </c>
      <c r="M56" t="s">
        <v>20</v>
      </c>
    </row>
    <row r="57" spans="1:13" x14ac:dyDescent="0.35">
      <c r="A57" s="5">
        <v>46088</v>
      </c>
      <c r="B57" s="7">
        <f>EOMONTH(Table1[[#This Row],[Announcement_Date]],0)</f>
        <v>46112</v>
      </c>
      <c r="C57" t="s">
        <v>11</v>
      </c>
      <c r="D57" t="s">
        <v>22</v>
      </c>
      <c r="E57" t="s">
        <v>13</v>
      </c>
      <c r="F57" t="str">
        <f t="shared" si="0"/>
        <v>USA-NASDAQ</v>
      </c>
      <c r="G57" t="s">
        <v>47</v>
      </c>
      <c r="H57" t="s">
        <v>111</v>
      </c>
      <c r="I57" t="s">
        <v>25</v>
      </c>
      <c r="J57" t="s">
        <v>17</v>
      </c>
      <c r="K57" t="s">
        <v>18</v>
      </c>
      <c r="L57" t="s">
        <v>27</v>
      </c>
      <c r="M57" t="s">
        <v>55</v>
      </c>
    </row>
    <row r="58" spans="1:13" x14ac:dyDescent="0.35">
      <c r="A58" s="5">
        <v>45833</v>
      </c>
      <c r="B58" s="7">
        <f>EOMONTH(Table1[[#This Row],[Announcement_Date]],0)</f>
        <v>45838</v>
      </c>
      <c r="C58" t="s">
        <v>108</v>
      </c>
      <c r="D58" t="s">
        <v>22</v>
      </c>
      <c r="E58" t="s">
        <v>13</v>
      </c>
      <c r="F58" t="str">
        <f t="shared" si="0"/>
        <v>USA-NASDAQ</v>
      </c>
      <c r="G58" t="s">
        <v>29</v>
      </c>
      <c r="H58" t="s">
        <v>112</v>
      </c>
      <c r="I58" t="s">
        <v>31</v>
      </c>
      <c r="J58" t="s">
        <v>26</v>
      </c>
      <c r="K58" t="s">
        <v>49</v>
      </c>
      <c r="L58" t="s">
        <v>41</v>
      </c>
      <c r="M58" t="s">
        <v>42</v>
      </c>
    </row>
    <row r="59" spans="1:13" x14ac:dyDescent="0.35">
      <c r="A59" s="5">
        <v>45940</v>
      </c>
      <c r="B59" s="7">
        <f>EOMONTH(Table1[[#This Row],[Announcement_Date]],0)</f>
        <v>45961</v>
      </c>
      <c r="C59" t="s">
        <v>32</v>
      </c>
      <c r="D59" t="s">
        <v>22</v>
      </c>
      <c r="E59" t="s">
        <v>13</v>
      </c>
      <c r="F59" t="str">
        <f t="shared" si="0"/>
        <v>USA-NASDAQ</v>
      </c>
      <c r="G59" t="s">
        <v>29</v>
      </c>
      <c r="H59" t="s">
        <v>113</v>
      </c>
      <c r="I59" t="s">
        <v>16</v>
      </c>
      <c r="J59" t="s">
        <v>36</v>
      </c>
      <c r="K59" t="s">
        <v>37</v>
      </c>
      <c r="L59" t="s">
        <v>27</v>
      </c>
      <c r="M59" t="s">
        <v>42</v>
      </c>
    </row>
    <row r="60" spans="1:13" x14ac:dyDescent="0.35">
      <c r="A60" s="5">
        <v>45980</v>
      </c>
      <c r="B60" s="7">
        <f>EOMONTH(Table1[[#This Row],[Announcement_Date]],0)</f>
        <v>45991</v>
      </c>
      <c r="C60" t="s">
        <v>88</v>
      </c>
      <c r="D60" t="s">
        <v>12</v>
      </c>
      <c r="E60" t="s">
        <v>23</v>
      </c>
      <c r="F60" t="str">
        <f t="shared" si="0"/>
        <v>Canada-TSX</v>
      </c>
      <c r="G60" t="s">
        <v>43</v>
      </c>
      <c r="H60" t="s">
        <v>114</v>
      </c>
      <c r="I60" t="s">
        <v>31</v>
      </c>
      <c r="J60" t="s">
        <v>17</v>
      </c>
      <c r="K60" t="s">
        <v>49</v>
      </c>
      <c r="L60" t="s">
        <v>27</v>
      </c>
      <c r="M60" t="s">
        <v>42</v>
      </c>
    </row>
    <row r="61" spans="1:13" x14ac:dyDescent="0.35">
      <c r="A61" s="5">
        <v>45958</v>
      </c>
      <c r="B61" s="7">
        <f>EOMONTH(Table1[[#This Row],[Announcement_Date]],0)</f>
        <v>45961</v>
      </c>
      <c r="C61" t="s">
        <v>62</v>
      </c>
      <c r="D61" t="s">
        <v>22</v>
      </c>
      <c r="E61" t="s">
        <v>23</v>
      </c>
      <c r="F61" t="str">
        <f t="shared" si="0"/>
        <v>USA-TSX</v>
      </c>
      <c r="G61" t="s">
        <v>47</v>
      </c>
      <c r="H61" t="s">
        <v>115</v>
      </c>
      <c r="I61" t="s">
        <v>16</v>
      </c>
      <c r="J61" t="s">
        <v>17</v>
      </c>
      <c r="K61" t="s">
        <v>49</v>
      </c>
      <c r="L61" t="s">
        <v>19</v>
      </c>
      <c r="M61" t="s">
        <v>42</v>
      </c>
    </row>
    <row r="62" spans="1:13" x14ac:dyDescent="0.35">
      <c r="A62" s="5">
        <v>45838</v>
      </c>
      <c r="B62" s="7">
        <f>EOMONTH(Table1[[#This Row],[Announcement_Date]],0)</f>
        <v>45838</v>
      </c>
      <c r="C62" t="s">
        <v>56</v>
      </c>
      <c r="D62" t="s">
        <v>12</v>
      </c>
      <c r="E62" t="s">
        <v>33</v>
      </c>
      <c r="F62" t="str">
        <f t="shared" si="0"/>
        <v>Canada-NYSE</v>
      </c>
      <c r="G62" t="s">
        <v>34</v>
      </c>
      <c r="H62" t="s">
        <v>116</v>
      </c>
      <c r="I62" t="s">
        <v>31</v>
      </c>
      <c r="J62" t="s">
        <v>17</v>
      </c>
      <c r="K62" t="s">
        <v>37</v>
      </c>
      <c r="L62" t="s">
        <v>41</v>
      </c>
      <c r="M62" t="s">
        <v>20</v>
      </c>
    </row>
    <row r="63" spans="1:13" x14ac:dyDescent="0.35">
      <c r="A63" s="5">
        <v>45765</v>
      </c>
      <c r="B63" s="7">
        <f>EOMONTH(Table1[[#This Row],[Announcement_Date]],0)</f>
        <v>45777</v>
      </c>
      <c r="C63" t="s">
        <v>108</v>
      </c>
      <c r="D63" t="s">
        <v>22</v>
      </c>
      <c r="E63" t="s">
        <v>23</v>
      </c>
      <c r="F63" t="str">
        <f t="shared" si="0"/>
        <v>USA-TSX</v>
      </c>
      <c r="G63" t="s">
        <v>29</v>
      </c>
      <c r="H63" t="s">
        <v>117</v>
      </c>
      <c r="I63" t="s">
        <v>31</v>
      </c>
      <c r="J63" t="s">
        <v>17</v>
      </c>
      <c r="K63" t="s">
        <v>64</v>
      </c>
      <c r="L63" t="s">
        <v>27</v>
      </c>
      <c r="M63" t="s">
        <v>55</v>
      </c>
    </row>
    <row r="64" spans="1:13" x14ac:dyDescent="0.35">
      <c r="A64" s="5">
        <v>45861</v>
      </c>
      <c r="B64" s="7">
        <f>EOMONTH(Table1[[#This Row],[Announcement_Date]],0)</f>
        <v>45869</v>
      </c>
      <c r="C64" t="s">
        <v>11</v>
      </c>
      <c r="D64" t="s">
        <v>12</v>
      </c>
      <c r="E64" t="s">
        <v>13</v>
      </c>
      <c r="F64" t="str">
        <f t="shared" si="0"/>
        <v>Canada-NASDAQ</v>
      </c>
      <c r="G64" t="s">
        <v>34</v>
      </c>
      <c r="H64" t="s">
        <v>118</v>
      </c>
      <c r="I64" t="s">
        <v>31</v>
      </c>
      <c r="J64" t="s">
        <v>36</v>
      </c>
      <c r="K64" t="s">
        <v>49</v>
      </c>
      <c r="L64" t="s">
        <v>19</v>
      </c>
      <c r="M64" t="s">
        <v>55</v>
      </c>
    </row>
    <row r="65" spans="1:13" x14ac:dyDescent="0.35">
      <c r="A65" s="5">
        <v>46110</v>
      </c>
      <c r="B65" s="7">
        <f>EOMONTH(Table1[[#This Row],[Announcement_Date]],0)</f>
        <v>46112</v>
      </c>
      <c r="C65" t="s">
        <v>32</v>
      </c>
      <c r="D65" t="s">
        <v>12</v>
      </c>
      <c r="E65" t="s">
        <v>23</v>
      </c>
      <c r="F65" t="str">
        <f t="shared" si="0"/>
        <v>Canada-TSX</v>
      </c>
      <c r="G65" t="s">
        <v>47</v>
      </c>
      <c r="H65" t="s">
        <v>119</v>
      </c>
      <c r="I65" t="s">
        <v>16</v>
      </c>
      <c r="J65" t="s">
        <v>36</v>
      </c>
      <c r="K65" t="s">
        <v>45</v>
      </c>
      <c r="L65" t="s">
        <v>41</v>
      </c>
      <c r="M65" t="s">
        <v>42</v>
      </c>
    </row>
    <row r="66" spans="1:13" x14ac:dyDescent="0.35">
      <c r="A66" s="5">
        <v>45913</v>
      </c>
      <c r="B66" s="7">
        <f>EOMONTH(Table1[[#This Row],[Announcement_Date]],0)</f>
        <v>45930</v>
      </c>
      <c r="C66" t="s">
        <v>75</v>
      </c>
      <c r="D66" t="s">
        <v>12</v>
      </c>
      <c r="E66" t="s">
        <v>23</v>
      </c>
      <c r="F66" t="str">
        <f t="shared" si="0"/>
        <v>Canada-TSX</v>
      </c>
      <c r="G66" t="s">
        <v>47</v>
      </c>
      <c r="H66" t="s">
        <v>120</v>
      </c>
      <c r="I66" t="s">
        <v>31</v>
      </c>
      <c r="J66" t="s">
        <v>17</v>
      </c>
      <c r="K66" t="s">
        <v>49</v>
      </c>
      <c r="L66" t="s">
        <v>27</v>
      </c>
      <c r="M66" t="s">
        <v>55</v>
      </c>
    </row>
    <row r="67" spans="1:13" x14ac:dyDescent="0.35">
      <c r="A67" s="5">
        <v>45782</v>
      </c>
      <c r="B67" s="7">
        <f>EOMONTH(Table1[[#This Row],[Announcement_Date]],0)</f>
        <v>45808</v>
      </c>
      <c r="C67" t="s">
        <v>38</v>
      </c>
      <c r="D67" t="s">
        <v>22</v>
      </c>
      <c r="E67" t="s">
        <v>13</v>
      </c>
      <c r="F67" t="str">
        <f t="shared" ref="F67:F130" si="1">CONCATENATE(D67,"-",E67)</f>
        <v>USA-NASDAQ</v>
      </c>
      <c r="G67" t="s">
        <v>34</v>
      </c>
      <c r="H67" t="s">
        <v>121</v>
      </c>
      <c r="I67" t="s">
        <v>25</v>
      </c>
      <c r="J67" t="s">
        <v>36</v>
      </c>
      <c r="K67" t="s">
        <v>45</v>
      </c>
      <c r="L67" t="s">
        <v>41</v>
      </c>
      <c r="M67" t="s">
        <v>20</v>
      </c>
    </row>
    <row r="68" spans="1:13" x14ac:dyDescent="0.35">
      <c r="A68" s="5">
        <v>45940</v>
      </c>
      <c r="B68" s="7">
        <f>EOMONTH(Table1[[#This Row],[Announcement_Date]],0)</f>
        <v>45961</v>
      </c>
      <c r="C68" t="s">
        <v>53</v>
      </c>
      <c r="D68" t="s">
        <v>22</v>
      </c>
      <c r="E68" t="s">
        <v>13</v>
      </c>
      <c r="F68" t="str">
        <f t="shared" si="1"/>
        <v>USA-NASDAQ</v>
      </c>
      <c r="G68" t="s">
        <v>14</v>
      </c>
      <c r="H68" t="s">
        <v>122</v>
      </c>
      <c r="I68" t="s">
        <v>25</v>
      </c>
      <c r="J68" t="s">
        <v>26</v>
      </c>
      <c r="K68" t="s">
        <v>49</v>
      </c>
      <c r="L68" t="s">
        <v>19</v>
      </c>
      <c r="M68" t="s">
        <v>20</v>
      </c>
    </row>
    <row r="69" spans="1:13" x14ac:dyDescent="0.35">
      <c r="A69" s="5">
        <v>45913</v>
      </c>
      <c r="B69" s="7">
        <f>EOMONTH(Table1[[#This Row],[Announcement_Date]],0)</f>
        <v>45930</v>
      </c>
      <c r="C69" t="s">
        <v>28</v>
      </c>
      <c r="D69" t="s">
        <v>12</v>
      </c>
      <c r="E69" t="s">
        <v>23</v>
      </c>
      <c r="F69" t="str">
        <f t="shared" si="1"/>
        <v>Canada-TSX</v>
      </c>
      <c r="G69" t="s">
        <v>34</v>
      </c>
      <c r="H69" t="s">
        <v>123</v>
      </c>
      <c r="I69" t="s">
        <v>25</v>
      </c>
      <c r="J69" t="s">
        <v>26</v>
      </c>
      <c r="K69" t="s">
        <v>18</v>
      </c>
      <c r="L69" t="s">
        <v>27</v>
      </c>
      <c r="M69" t="s">
        <v>20</v>
      </c>
    </row>
    <row r="70" spans="1:13" x14ac:dyDescent="0.35">
      <c r="A70" s="5">
        <v>45974</v>
      </c>
      <c r="B70" s="7">
        <f>EOMONTH(Table1[[#This Row],[Announcement_Date]],0)</f>
        <v>45991</v>
      </c>
      <c r="C70" t="s">
        <v>88</v>
      </c>
      <c r="D70" t="s">
        <v>12</v>
      </c>
      <c r="E70" t="s">
        <v>23</v>
      </c>
      <c r="F70" t="str">
        <f t="shared" si="1"/>
        <v>Canada-TSX</v>
      </c>
      <c r="G70" t="s">
        <v>57</v>
      </c>
      <c r="H70" t="s">
        <v>124</v>
      </c>
      <c r="I70" t="s">
        <v>25</v>
      </c>
      <c r="J70" t="s">
        <v>17</v>
      </c>
      <c r="K70" t="s">
        <v>64</v>
      </c>
      <c r="L70" t="s">
        <v>27</v>
      </c>
      <c r="M70" t="s">
        <v>42</v>
      </c>
    </row>
    <row r="71" spans="1:13" x14ac:dyDescent="0.35">
      <c r="A71" s="5">
        <v>46056</v>
      </c>
      <c r="B71" s="7">
        <f>EOMONTH(Table1[[#This Row],[Announcement_Date]],0)</f>
        <v>46081</v>
      </c>
      <c r="C71" t="s">
        <v>108</v>
      </c>
      <c r="D71" t="s">
        <v>12</v>
      </c>
      <c r="E71" t="s">
        <v>33</v>
      </c>
      <c r="F71" t="str">
        <f t="shared" si="1"/>
        <v>Canada-NYSE</v>
      </c>
      <c r="G71" t="s">
        <v>43</v>
      </c>
      <c r="H71" t="s">
        <v>125</v>
      </c>
      <c r="I71" t="s">
        <v>25</v>
      </c>
      <c r="J71" t="s">
        <v>26</v>
      </c>
      <c r="K71" t="s">
        <v>49</v>
      </c>
      <c r="L71" t="s">
        <v>27</v>
      </c>
      <c r="M71" t="s">
        <v>42</v>
      </c>
    </row>
    <row r="72" spans="1:13" x14ac:dyDescent="0.35">
      <c r="A72" s="5">
        <v>46039</v>
      </c>
      <c r="B72" s="7">
        <f>EOMONTH(Table1[[#This Row],[Announcement_Date]],0)</f>
        <v>46053</v>
      </c>
      <c r="C72" t="s">
        <v>56</v>
      </c>
      <c r="D72" t="s">
        <v>22</v>
      </c>
      <c r="E72" t="s">
        <v>13</v>
      </c>
      <c r="F72" t="str">
        <f t="shared" si="1"/>
        <v>USA-NASDAQ</v>
      </c>
      <c r="G72" t="s">
        <v>57</v>
      </c>
      <c r="H72" t="s">
        <v>126</v>
      </c>
      <c r="I72" t="s">
        <v>31</v>
      </c>
      <c r="J72" t="s">
        <v>26</v>
      </c>
      <c r="K72" t="s">
        <v>18</v>
      </c>
      <c r="L72" t="s">
        <v>27</v>
      </c>
      <c r="M72" t="s">
        <v>55</v>
      </c>
    </row>
    <row r="73" spans="1:13" x14ac:dyDescent="0.35">
      <c r="A73" s="5">
        <v>46102</v>
      </c>
      <c r="B73" s="7">
        <f>EOMONTH(Table1[[#This Row],[Announcement_Date]],0)</f>
        <v>46112</v>
      </c>
      <c r="C73" t="s">
        <v>28</v>
      </c>
      <c r="D73" t="s">
        <v>12</v>
      </c>
      <c r="E73" t="s">
        <v>33</v>
      </c>
      <c r="F73" t="str">
        <f t="shared" si="1"/>
        <v>Canada-NYSE</v>
      </c>
      <c r="G73" t="s">
        <v>29</v>
      </c>
      <c r="H73" t="s">
        <v>127</v>
      </c>
      <c r="I73" t="s">
        <v>25</v>
      </c>
      <c r="J73" t="s">
        <v>17</v>
      </c>
      <c r="K73" t="s">
        <v>45</v>
      </c>
      <c r="L73" t="s">
        <v>41</v>
      </c>
      <c r="M73" t="s">
        <v>55</v>
      </c>
    </row>
    <row r="74" spans="1:13" x14ac:dyDescent="0.35">
      <c r="A74" s="5">
        <v>45872</v>
      </c>
      <c r="B74" s="7">
        <f>EOMONTH(Table1[[#This Row],[Announcement_Date]],0)</f>
        <v>45900</v>
      </c>
      <c r="C74" t="s">
        <v>69</v>
      </c>
      <c r="D74" t="s">
        <v>12</v>
      </c>
      <c r="E74" t="s">
        <v>33</v>
      </c>
      <c r="F74" t="str">
        <f t="shared" si="1"/>
        <v>Canada-NYSE</v>
      </c>
      <c r="G74" t="s">
        <v>29</v>
      </c>
      <c r="H74" t="s">
        <v>128</v>
      </c>
      <c r="I74" t="s">
        <v>31</v>
      </c>
      <c r="J74" t="s">
        <v>17</v>
      </c>
      <c r="K74" t="s">
        <v>64</v>
      </c>
      <c r="L74" t="s">
        <v>19</v>
      </c>
      <c r="M74" t="s">
        <v>55</v>
      </c>
    </row>
    <row r="75" spans="1:13" x14ac:dyDescent="0.35">
      <c r="A75" s="5">
        <v>46053</v>
      </c>
      <c r="B75" s="7">
        <f>EOMONTH(Table1[[#This Row],[Announcement_Date]],0)</f>
        <v>46053</v>
      </c>
      <c r="C75" t="s">
        <v>38</v>
      </c>
      <c r="D75" t="s">
        <v>22</v>
      </c>
      <c r="E75" t="s">
        <v>33</v>
      </c>
      <c r="F75" t="str">
        <f t="shared" si="1"/>
        <v>USA-NYSE</v>
      </c>
      <c r="G75" t="s">
        <v>47</v>
      </c>
      <c r="H75" t="s">
        <v>129</v>
      </c>
      <c r="I75" t="s">
        <v>31</v>
      </c>
      <c r="J75" t="s">
        <v>26</v>
      </c>
      <c r="K75" t="s">
        <v>40</v>
      </c>
      <c r="L75" t="s">
        <v>27</v>
      </c>
      <c r="M75" t="s">
        <v>42</v>
      </c>
    </row>
    <row r="76" spans="1:13" x14ac:dyDescent="0.35">
      <c r="A76" s="5">
        <v>45878</v>
      </c>
      <c r="B76" s="7">
        <f>EOMONTH(Table1[[#This Row],[Announcement_Date]],0)</f>
        <v>45900</v>
      </c>
      <c r="C76" t="s">
        <v>46</v>
      </c>
      <c r="D76" t="s">
        <v>22</v>
      </c>
      <c r="E76" t="s">
        <v>33</v>
      </c>
      <c r="F76" t="str">
        <f t="shared" si="1"/>
        <v>USA-NYSE</v>
      </c>
      <c r="G76" t="s">
        <v>34</v>
      </c>
      <c r="H76" t="s">
        <v>130</v>
      </c>
      <c r="I76" t="s">
        <v>31</v>
      </c>
      <c r="J76" t="s">
        <v>36</v>
      </c>
      <c r="K76" t="s">
        <v>18</v>
      </c>
      <c r="L76" t="s">
        <v>41</v>
      </c>
      <c r="M76" t="s">
        <v>42</v>
      </c>
    </row>
    <row r="77" spans="1:13" x14ac:dyDescent="0.35">
      <c r="A77" s="5">
        <v>45853</v>
      </c>
      <c r="B77" s="7">
        <f>EOMONTH(Table1[[#This Row],[Announcement_Date]],0)</f>
        <v>45869</v>
      </c>
      <c r="C77" t="s">
        <v>21</v>
      </c>
      <c r="D77" t="s">
        <v>12</v>
      </c>
      <c r="E77" t="s">
        <v>23</v>
      </c>
      <c r="F77" t="str">
        <f t="shared" si="1"/>
        <v>Canada-TSX</v>
      </c>
      <c r="G77" t="s">
        <v>14</v>
      </c>
      <c r="H77" t="s">
        <v>131</v>
      </c>
      <c r="I77" t="s">
        <v>25</v>
      </c>
      <c r="J77" t="s">
        <v>36</v>
      </c>
      <c r="K77" t="s">
        <v>37</v>
      </c>
      <c r="L77" t="s">
        <v>19</v>
      </c>
      <c r="M77" t="s">
        <v>42</v>
      </c>
    </row>
    <row r="78" spans="1:13" x14ac:dyDescent="0.35">
      <c r="A78" s="5">
        <v>46055</v>
      </c>
      <c r="B78" s="7">
        <f>EOMONTH(Table1[[#This Row],[Announcement_Date]],0)</f>
        <v>46081</v>
      </c>
      <c r="C78" t="s">
        <v>56</v>
      </c>
      <c r="D78" t="s">
        <v>12</v>
      </c>
      <c r="E78" t="s">
        <v>23</v>
      </c>
      <c r="F78" t="str">
        <f t="shared" si="1"/>
        <v>Canada-TSX</v>
      </c>
      <c r="G78" t="s">
        <v>43</v>
      </c>
      <c r="H78" t="s">
        <v>132</v>
      </c>
      <c r="I78" t="s">
        <v>16</v>
      </c>
      <c r="J78" t="s">
        <v>26</v>
      </c>
      <c r="K78" t="s">
        <v>64</v>
      </c>
      <c r="L78" t="s">
        <v>41</v>
      </c>
      <c r="M78" t="s">
        <v>42</v>
      </c>
    </row>
    <row r="79" spans="1:13" x14ac:dyDescent="0.35">
      <c r="A79" s="5">
        <v>45769</v>
      </c>
      <c r="B79" s="7">
        <f>EOMONTH(Table1[[#This Row],[Announcement_Date]],0)</f>
        <v>45777</v>
      </c>
      <c r="C79" t="s">
        <v>50</v>
      </c>
      <c r="D79" t="s">
        <v>12</v>
      </c>
      <c r="E79" t="s">
        <v>33</v>
      </c>
      <c r="F79" t="str">
        <f t="shared" si="1"/>
        <v>Canada-NYSE</v>
      </c>
      <c r="G79" t="s">
        <v>29</v>
      </c>
      <c r="H79" t="s">
        <v>133</v>
      </c>
      <c r="I79" t="s">
        <v>25</v>
      </c>
      <c r="J79" t="s">
        <v>36</v>
      </c>
      <c r="K79" t="s">
        <v>52</v>
      </c>
      <c r="L79" t="s">
        <v>27</v>
      </c>
      <c r="M79" t="s">
        <v>20</v>
      </c>
    </row>
    <row r="80" spans="1:13" x14ac:dyDescent="0.35">
      <c r="A80" s="5">
        <v>45897</v>
      </c>
      <c r="B80" s="7">
        <f>EOMONTH(Table1[[#This Row],[Announcement_Date]],0)</f>
        <v>45900</v>
      </c>
      <c r="C80" t="s">
        <v>50</v>
      </c>
      <c r="D80" t="s">
        <v>12</v>
      </c>
      <c r="E80" t="s">
        <v>33</v>
      </c>
      <c r="F80" t="str">
        <f t="shared" si="1"/>
        <v>Canada-NYSE</v>
      </c>
      <c r="G80" t="s">
        <v>14</v>
      </c>
      <c r="H80" t="s">
        <v>134</v>
      </c>
      <c r="I80" t="s">
        <v>25</v>
      </c>
      <c r="J80" t="s">
        <v>36</v>
      </c>
      <c r="K80" t="s">
        <v>49</v>
      </c>
      <c r="L80" t="s">
        <v>41</v>
      </c>
      <c r="M80" t="s">
        <v>20</v>
      </c>
    </row>
    <row r="81" spans="1:13" x14ac:dyDescent="0.35">
      <c r="A81" s="5">
        <v>46017</v>
      </c>
      <c r="B81" s="7">
        <f>EOMONTH(Table1[[#This Row],[Announcement_Date]],0)</f>
        <v>46022</v>
      </c>
      <c r="C81" t="s">
        <v>69</v>
      </c>
      <c r="D81" t="s">
        <v>22</v>
      </c>
      <c r="E81" t="s">
        <v>23</v>
      </c>
      <c r="F81" t="str">
        <f t="shared" si="1"/>
        <v>USA-TSX</v>
      </c>
      <c r="G81" t="s">
        <v>34</v>
      </c>
      <c r="H81" t="s">
        <v>135</v>
      </c>
      <c r="I81" t="s">
        <v>16</v>
      </c>
      <c r="J81" t="s">
        <v>36</v>
      </c>
      <c r="K81" t="s">
        <v>40</v>
      </c>
      <c r="L81" t="s">
        <v>19</v>
      </c>
      <c r="M81" t="s">
        <v>42</v>
      </c>
    </row>
    <row r="82" spans="1:13" x14ac:dyDescent="0.35">
      <c r="A82" s="5">
        <v>46102</v>
      </c>
      <c r="B82" s="7">
        <f>EOMONTH(Table1[[#This Row],[Announcement_Date]],0)</f>
        <v>46112</v>
      </c>
      <c r="C82" t="s">
        <v>79</v>
      </c>
      <c r="D82" t="s">
        <v>12</v>
      </c>
      <c r="E82" t="s">
        <v>23</v>
      </c>
      <c r="F82" t="str">
        <f t="shared" si="1"/>
        <v>Canada-TSX</v>
      </c>
      <c r="G82" t="s">
        <v>29</v>
      </c>
      <c r="H82" t="s">
        <v>136</v>
      </c>
      <c r="I82" t="s">
        <v>16</v>
      </c>
      <c r="J82" t="s">
        <v>36</v>
      </c>
      <c r="K82" t="s">
        <v>64</v>
      </c>
      <c r="L82" t="s">
        <v>19</v>
      </c>
      <c r="M82" t="s">
        <v>20</v>
      </c>
    </row>
    <row r="83" spans="1:13" x14ac:dyDescent="0.35">
      <c r="A83" s="5">
        <v>46024</v>
      </c>
      <c r="B83" s="7">
        <f>EOMONTH(Table1[[#This Row],[Announcement_Date]],0)</f>
        <v>46053</v>
      </c>
      <c r="C83" t="s">
        <v>28</v>
      </c>
      <c r="D83" t="s">
        <v>12</v>
      </c>
      <c r="E83" t="s">
        <v>13</v>
      </c>
      <c r="F83" t="str">
        <f t="shared" si="1"/>
        <v>Canada-NASDAQ</v>
      </c>
      <c r="G83" t="s">
        <v>47</v>
      </c>
      <c r="H83" t="s">
        <v>137</v>
      </c>
      <c r="I83" t="s">
        <v>25</v>
      </c>
      <c r="J83" t="s">
        <v>26</v>
      </c>
      <c r="K83" t="s">
        <v>52</v>
      </c>
      <c r="L83" t="s">
        <v>41</v>
      </c>
      <c r="M83" t="s">
        <v>20</v>
      </c>
    </row>
    <row r="84" spans="1:13" x14ac:dyDescent="0.35">
      <c r="A84" s="5">
        <v>46004</v>
      </c>
      <c r="B84" s="7">
        <f>EOMONTH(Table1[[#This Row],[Announcement_Date]],0)</f>
        <v>46022</v>
      </c>
      <c r="C84" t="s">
        <v>62</v>
      </c>
      <c r="D84" t="s">
        <v>22</v>
      </c>
      <c r="E84" t="s">
        <v>33</v>
      </c>
      <c r="F84" t="str">
        <f t="shared" si="1"/>
        <v>USA-NYSE</v>
      </c>
      <c r="G84" t="s">
        <v>34</v>
      </c>
      <c r="H84" t="s">
        <v>138</v>
      </c>
      <c r="I84" t="s">
        <v>25</v>
      </c>
      <c r="J84" t="s">
        <v>26</v>
      </c>
      <c r="K84" t="s">
        <v>49</v>
      </c>
      <c r="L84" t="s">
        <v>41</v>
      </c>
      <c r="M84" t="s">
        <v>42</v>
      </c>
    </row>
    <row r="85" spans="1:13" x14ac:dyDescent="0.35">
      <c r="A85" s="5">
        <v>46017</v>
      </c>
      <c r="B85" s="7">
        <f>EOMONTH(Table1[[#This Row],[Announcement_Date]],0)</f>
        <v>46022</v>
      </c>
      <c r="C85" t="s">
        <v>53</v>
      </c>
      <c r="D85" t="s">
        <v>12</v>
      </c>
      <c r="E85" t="s">
        <v>33</v>
      </c>
      <c r="F85" t="str">
        <f t="shared" si="1"/>
        <v>Canada-NYSE</v>
      </c>
      <c r="G85" t="s">
        <v>34</v>
      </c>
      <c r="H85" t="s">
        <v>139</v>
      </c>
      <c r="I85" t="s">
        <v>16</v>
      </c>
      <c r="J85" t="s">
        <v>26</v>
      </c>
      <c r="K85" t="s">
        <v>64</v>
      </c>
      <c r="L85" t="s">
        <v>41</v>
      </c>
      <c r="M85" t="s">
        <v>55</v>
      </c>
    </row>
    <row r="86" spans="1:13" x14ac:dyDescent="0.35">
      <c r="A86" s="5">
        <v>45771</v>
      </c>
      <c r="B86" s="7">
        <f>EOMONTH(Table1[[#This Row],[Announcement_Date]],0)</f>
        <v>45777</v>
      </c>
      <c r="C86" t="s">
        <v>28</v>
      </c>
      <c r="D86" t="s">
        <v>12</v>
      </c>
      <c r="E86" t="s">
        <v>23</v>
      </c>
      <c r="F86" t="str">
        <f t="shared" si="1"/>
        <v>Canada-TSX</v>
      </c>
      <c r="G86" t="s">
        <v>43</v>
      </c>
      <c r="H86" t="s">
        <v>140</v>
      </c>
      <c r="I86" t="s">
        <v>25</v>
      </c>
      <c r="J86" t="s">
        <v>36</v>
      </c>
      <c r="K86" t="s">
        <v>45</v>
      </c>
      <c r="L86" t="s">
        <v>41</v>
      </c>
      <c r="M86" t="s">
        <v>20</v>
      </c>
    </row>
    <row r="87" spans="1:13" x14ac:dyDescent="0.35">
      <c r="A87" s="5">
        <v>45805</v>
      </c>
      <c r="B87" s="7">
        <f>EOMONTH(Table1[[#This Row],[Announcement_Date]],0)</f>
        <v>45808</v>
      </c>
      <c r="C87" t="s">
        <v>75</v>
      </c>
      <c r="D87" t="s">
        <v>12</v>
      </c>
      <c r="E87" t="s">
        <v>23</v>
      </c>
      <c r="F87" t="str">
        <f t="shared" si="1"/>
        <v>Canada-TSX</v>
      </c>
      <c r="G87" t="s">
        <v>34</v>
      </c>
      <c r="H87" t="s">
        <v>141</v>
      </c>
      <c r="I87" t="s">
        <v>16</v>
      </c>
      <c r="J87" t="s">
        <v>17</v>
      </c>
      <c r="K87" t="s">
        <v>49</v>
      </c>
      <c r="L87" t="s">
        <v>19</v>
      </c>
      <c r="M87" t="s">
        <v>20</v>
      </c>
    </row>
    <row r="88" spans="1:13" x14ac:dyDescent="0.35">
      <c r="A88" s="5">
        <v>45757</v>
      </c>
      <c r="B88" s="7">
        <f>EOMONTH(Table1[[#This Row],[Announcement_Date]],0)</f>
        <v>45777</v>
      </c>
      <c r="C88" t="s">
        <v>32</v>
      </c>
      <c r="D88" t="s">
        <v>22</v>
      </c>
      <c r="E88" t="s">
        <v>33</v>
      </c>
      <c r="F88" t="str">
        <f t="shared" si="1"/>
        <v>USA-NYSE</v>
      </c>
      <c r="G88" t="s">
        <v>43</v>
      </c>
      <c r="H88" t="s">
        <v>142</v>
      </c>
      <c r="I88" t="s">
        <v>31</v>
      </c>
      <c r="J88" t="s">
        <v>36</v>
      </c>
      <c r="K88" t="s">
        <v>18</v>
      </c>
      <c r="L88" t="s">
        <v>19</v>
      </c>
      <c r="M88" t="s">
        <v>20</v>
      </c>
    </row>
    <row r="89" spans="1:13" x14ac:dyDescent="0.35">
      <c r="A89" s="5">
        <v>45907</v>
      </c>
      <c r="B89" s="7">
        <f>EOMONTH(Table1[[#This Row],[Announcement_Date]],0)</f>
        <v>45930</v>
      </c>
      <c r="C89" t="s">
        <v>38</v>
      </c>
      <c r="D89" t="s">
        <v>12</v>
      </c>
      <c r="E89" t="s">
        <v>13</v>
      </c>
      <c r="F89" t="str">
        <f t="shared" si="1"/>
        <v>Canada-NASDAQ</v>
      </c>
      <c r="G89" t="s">
        <v>43</v>
      </c>
      <c r="H89" t="s">
        <v>143</v>
      </c>
      <c r="I89" t="s">
        <v>25</v>
      </c>
      <c r="J89" t="s">
        <v>17</v>
      </c>
      <c r="K89" t="s">
        <v>40</v>
      </c>
      <c r="L89" t="s">
        <v>41</v>
      </c>
      <c r="M89" t="s">
        <v>42</v>
      </c>
    </row>
    <row r="90" spans="1:13" x14ac:dyDescent="0.35">
      <c r="A90" s="5">
        <v>46105</v>
      </c>
      <c r="B90" s="7">
        <f>EOMONTH(Table1[[#This Row],[Announcement_Date]],0)</f>
        <v>46112</v>
      </c>
      <c r="C90" t="s">
        <v>50</v>
      </c>
      <c r="D90" t="s">
        <v>12</v>
      </c>
      <c r="E90" t="s">
        <v>13</v>
      </c>
      <c r="F90" t="str">
        <f t="shared" si="1"/>
        <v>Canada-NASDAQ</v>
      </c>
      <c r="G90" t="s">
        <v>57</v>
      </c>
      <c r="H90" t="s">
        <v>144</v>
      </c>
      <c r="I90" t="s">
        <v>25</v>
      </c>
      <c r="J90" t="s">
        <v>36</v>
      </c>
      <c r="K90" t="s">
        <v>52</v>
      </c>
      <c r="L90" t="s">
        <v>19</v>
      </c>
      <c r="M90" t="s">
        <v>42</v>
      </c>
    </row>
    <row r="91" spans="1:13" x14ac:dyDescent="0.35">
      <c r="A91" s="5">
        <v>45782</v>
      </c>
      <c r="B91" s="7">
        <f>EOMONTH(Table1[[#This Row],[Announcement_Date]],0)</f>
        <v>45808</v>
      </c>
      <c r="C91" t="s">
        <v>79</v>
      </c>
      <c r="D91" t="s">
        <v>22</v>
      </c>
      <c r="E91" t="s">
        <v>13</v>
      </c>
      <c r="F91" t="str">
        <f t="shared" si="1"/>
        <v>USA-NASDAQ</v>
      </c>
      <c r="G91" t="s">
        <v>14</v>
      </c>
      <c r="H91" t="s">
        <v>145</v>
      </c>
      <c r="I91" t="s">
        <v>31</v>
      </c>
      <c r="J91" t="s">
        <v>36</v>
      </c>
      <c r="K91" t="s">
        <v>18</v>
      </c>
      <c r="L91" t="s">
        <v>19</v>
      </c>
      <c r="M91" t="s">
        <v>20</v>
      </c>
    </row>
    <row r="92" spans="1:13" x14ac:dyDescent="0.35">
      <c r="A92" s="5">
        <v>45805</v>
      </c>
      <c r="B92" s="7">
        <f>EOMONTH(Table1[[#This Row],[Announcement_Date]],0)</f>
        <v>45808</v>
      </c>
      <c r="C92" t="s">
        <v>32</v>
      </c>
      <c r="D92" t="s">
        <v>22</v>
      </c>
      <c r="E92" t="s">
        <v>33</v>
      </c>
      <c r="F92" t="str">
        <f t="shared" si="1"/>
        <v>USA-NYSE</v>
      </c>
      <c r="G92" t="s">
        <v>14</v>
      </c>
      <c r="H92" t="s">
        <v>146</v>
      </c>
      <c r="I92" t="s">
        <v>16</v>
      </c>
      <c r="J92" t="s">
        <v>17</v>
      </c>
      <c r="K92" t="s">
        <v>45</v>
      </c>
      <c r="L92" t="s">
        <v>19</v>
      </c>
      <c r="M92" t="s">
        <v>55</v>
      </c>
    </row>
    <row r="93" spans="1:13" x14ac:dyDescent="0.35">
      <c r="A93" s="5">
        <v>45888</v>
      </c>
      <c r="B93" s="7">
        <f>EOMONTH(Table1[[#This Row],[Announcement_Date]],0)</f>
        <v>45900</v>
      </c>
      <c r="C93" t="s">
        <v>88</v>
      </c>
      <c r="D93" t="s">
        <v>22</v>
      </c>
      <c r="E93" t="s">
        <v>23</v>
      </c>
      <c r="F93" t="str">
        <f t="shared" si="1"/>
        <v>USA-TSX</v>
      </c>
      <c r="G93" t="s">
        <v>29</v>
      </c>
      <c r="H93" t="s">
        <v>147</v>
      </c>
      <c r="I93" t="s">
        <v>16</v>
      </c>
      <c r="J93" t="s">
        <v>36</v>
      </c>
      <c r="K93" t="s">
        <v>18</v>
      </c>
      <c r="L93" t="s">
        <v>41</v>
      </c>
      <c r="M93" t="s">
        <v>20</v>
      </c>
    </row>
    <row r="94" spans="1:13" x14ac:dyDescent="0.35">
      <c r="A94" s="5">
        <v>46046</v>
      </c>
      <c r="B94" s="7">
        <f>EOMONTH(Table1[[#This Row],[Announcement_Date]],0)</f>
        <v>46053</v>
      </c>
      <c r="C94" t="s">
        <v>108</v>
      </c>
      <c r="D94" t="s">
        <v>12</v>
      </c>
      <c r="E94" t="s">
        <v>23</v>
      </c>
      <c r="F94" t="str">
        <f t="shared" si="1"/>
        <v>Canada-TSX</v>
      </c>
      <c r="G94" t="s">
        <v>43</v>
      </c>
      <c r="H94" t="s">
        <v>148</v>
      </c>
      <c r="I94" t="s">
        <v>31</v>
      </c>
      <c r="J94" t="s">
        <v>36</v>
      </c>
      <c r="K94" t="s">
        <v>45</v>
      </c>
      <c r="L94" t="s">
        <v>19</v>
      </c>
      <c r="M94" t="s">
        <v>55</v>
      </c>
    </row>
    <row r="95" spans="1:13" x14ac:dyDescent="0.35">
      <c r="A95" s="5">
        <v>45927</v>
      </c>
      <c r="B95" s="7">
        <f>EOMONTH(Table1[[#This Row],[Announcement_Date]],0)</f>
        <v>45930</v>
      </c>
      <c r="C95" t="s">
        <v>75</v>
      </c>
      <c r="D95" t="s">
        <v>22</v>
      </c>
      <c r="E95" t="s">
        <v>23</v>
      </c>
      <c r="F95" t="str">
        <f t="shared" si="1"/>
        <v>USA-TSX</v>
      </c>
      <c r="G95" t="s">
        <v>57</v>
      </c>
      <c r="H95" t="s">
        <v>149</v>
      </c>
      <c r="I95" t="s">
        <v>31</v>
      </c>
      <c r="J95" t="s">
        <v>36</v>
      </c>
      <c r="K95" t="s">
        <v>49</v>
      </c>
      <c r="L95" t="s">
        <v>41</v>
      </c>
      <c r="M95" t="s">
        <v>42</v>
      </c>
    </row>
    <row r="96" spans="1:13" x14ac:dyDescent="0.35">
      <c r="A96" s="5">
        <v>45849</v>
      </c>
      <c r="B96" s="7">
        <f>EOMONTH(Table1[[#This Row],[Announcement_Date]],0)</f>
        <v>45869</v>
      </c>
      <c r="C96" t="s">
        <v>88</v>
      </c>
      <c r="D96" t="s">
        <v>22</v>
      </c>
      <c r="E96" t="s">
        <v>23</v>
      </c>
      <c r="F96" t="str">
        <f t="shared" si="1"/>
        <v>USA-TSX</v>
      </c>
      <c r="G96" t="s">
        <v>47</v>
      </c>
      <c r="H96" t="s">
        <v>150</v>
      </c>
      <c r="I96" t="s">
        <v>25</v>
      </c>
      <c r="J96" t="s">
        <v>36</v>
      </c>
      <c r="K96" t="s">
        <v>45</v>
      </c>
      <c r="L96" t="s">
        <v>27</v>
      </c>
      <c r="M96" t="s">
        <v>20</v>
      </c>
    </row>
    <row r="97" spans="1:13" x14ac:dyDescent="0.35">
      <c r="A97" s="5">
        <v>46078</v>
      </c>
      <c r="B97" s="7">
        <f>EOMONTH(Table1[[#This Row],[Announcement_Date]],0)</f>
        <v>46081</v>
      </c>
      <c r="C97" t="s">
        <v>11</v>
      </c>
      <c r="D97" t="s">
        <v>12</v>
      </c>
      <c r="E97" t="s">
        <v>23</v>
      </c>
      <c r="F97" t="str">
        <f t="shared" si="1"/>
        <v>Canada-TSX</v>
      </c>
      <c r="G97" t="s">
        <v>14</v>
      </c>
      <c r="H97" t="s">
        <v>151</v>
      </c>
      <c r="I97" t="s">
        <v>16</v>
      </c>
      <c r="J97" t="s">
        <v>17</v>
      </c>
      <c r="K97" t="s">
        <v>64</v>
      </c>
      <c r="L97" t="s">
        <v>19</v>
      </c>
      <c r="M97" t="s">
        <v>55</v>
      </c>
    </row>
    <row r="98" spans="1:13" x14ac:dyDescent="0.35">
      <c r="A98" s="5">
        <v>45821</v>
      </c>
      <c r="B98" s="7">
        <f>EOMONTH(Table1[[#This Row],[Announcement_Date]],0)</f>
        <v>45838</v>
      </c>
      <c r="C98" t="s">
        <v>11</v>
      </c>
      <c r="D98" t="s">
        <v>12</v>
      </c>
      <c r="E98" t="s">
        <v>33</v>
      </c>
      <c r="F98" t="str">
        <f t="shared" si="1"/>
        <v>Canada-NYSE</v>
      </c>
      <c r="G98" t="s">
        <v>57</v>
      </c>
      <c r="H98" t="s">
        <v>152</v>
      </c>
      <c r="I98" t="s">
        <v>31</v>
      </c>
      <c r="J98" t="s">
        <v>17</v>
      </c>
      <c r="K98" t="s">
        <v>40</v>
      </c>
      <c r="L98" t="s">
        <v>19</v>
      </c>
      <c r="M98" t="s">
        <v>20</v>
      </c>
    </row>
    <row r="99" spans="1:13" x14ac:dyDescent="0.35">
      <c r="A99" s="5">
        <v>45902</v>
      </c>
      <c r="B99" s="7">
        <f>EOMONTH(Table1[[#This Row],[Announcement_Date]],0)</f>
        <v>45930</v>
      </c>
      <c r="C99" t="s">
        <v>56</v>
      </c>
      <c r="D99" t="s">
        <v>22</v>
      </c>
      <c r="E99" t="s">
        <v>33</v>
      </c>
      <c r="F99" t="str">
        <f t="shared" si="1"/>
        <v>USA-NYSE</v>
      </c>
      <c r="G99" t="s">
        <v>29</v>
      </c>
      <c r="H99" t="s">
        <v>153</v>
      </c>
      <c r="I99" t="s">
        <v>25</v>
      </c>
      <c r="J99" t="s">
        <v>17</v>
      </c>
      <c r="K99" t="s">
        <v>49</v>
      </c>
      <c r="L99" t="s">
        <v>27</v>
      </c>
      <c r="M99" t="s">
        <v>42</v>
      </c>
    </row>
    <row r="100" spans="1:13" x14ac:dyDescent="0.35">
      <c r="A100" s="5">
        <v>45888</v>
      </c>
      <c r="B100" s="7">
        <f>EOMONTH(Table1[[#This Row],[Announcement_Date]],0)</f>
        <v>45900</v>
      </c>
      <c r="C100" t="s">
        <v>56</v>
      </c>
      <c r="D100" t="s">
        <v>12</v>
      </c>
      <c r="E100" t="s">
        <v>13</v>
      </c>
      <c r="F100" t="str">
        <f t="shared" si="1"/>
        <v>Canada-NASDAQ</v>
      </c>
      <c r="G100" t="s">
        <v>43</v>
      </c>
      <c r="H100" t="s">
        <v>154</v>
      </c>
      <c r="I100" t="s">
        <v>31</v>
      </c>
      <c r="J100" t="s">
        <v>36</v>
      </c>
      <c r="K100" t="s">
        <v>49</v>
      </c>
      <c r="L100" t="s">
        <v>41</v>
      </c>
      <c r="M100" t="s">
        <v>20</v>
      </c>
    </row>
    <row r="101" spans="1:13" x14ac:dyDescent="0.35">
      <c r="A101" s="5">
        <v>46044</v>
      </c>
      <c r="B101" s="7">
        <f>EOMONTH(Table1[[#This Row],[Announcement_Date]],0)</f>
        <v>46053</v>
      </c>
      <c r="C101" t="s">
        <v>88</v>
      </c>
      <c r="D101" t="s">
        <v>22</v>
      </c>
      <c r="E101" t="s">
        <v>13</v>
      </c>
      <c r="F101" t="str">
        <f t="shared" si="1"/>
        <v>USA-NASDAQ</v>
      </c>
      <c r="G101" t="s">
        <v>14</v>
      </c>
      <c r="H101" t="s">
        <v>155</v>
      </c>
      <c r="I101" t="s">
        <v>31</v>
      </c>
      <c r="J101" t="s">
        <v>17</v>
      </c>
      <c r="K101" t="s">
        <v>64</v>
      </c>
      <c r="L101" t="s">
        <v>19</v>
      </c>
      <c r="M101" t="s">
        <v>55</v>
      </c>
    </row>
    <row r="102" spans="1:13" x14ac:dyDescent="0.35">
      <c r="A102" s="5">
        <v>45838</v>
      </c>
      <c r="B102" s="7">
        <f>EOMONTH(Table1[[#This Row],[Announcement_Date]],0)</f>
        <v>45838</v>
      </c>
      <c r="C102" t="s">
        <v>21</v>
      </c>
      <c r="D102" t="s">
        <v>12</v>
      </c>
      <c r="E102" t="s">
        <v>33</v>
      </c>
      <c r="F102" t="str">
        <f t="shared" si="1"/>
        <v>Canada-NYSE</v>
      </c>
      <c r="G102" t="s">
        <v>43</v>
      </c>
      <c r="H102" t="s">
        <v>156</v>
      </c>
      <c r="I102" t="s">
        <v>25</v>
      </c>
      <c r="J102" t="s">
        <v>17</v>
      </c>
      <c r="K102" t="s">
        <v>40</v>
      </c>
      <c r="L102" t="s">
        <v>27</v>
      </c>
      <c r="M102" t="s">
        <v>42</v>
      </c>
    </row>
    <row r="103" spans="1:13" x14ac:dyDescent="0.35">
      <c r="A103" s="5">
        <v>45970</v>
      </c>
      <c r="B103" s="7">
        <f>EOMONTH(Table1[[#This Row],[Announcement_Date]],0)</f>
        <v>45991</v>
      </c>
      <c r="C103" t="s">
        <v>75</v>
      </c>
      <c r="D103" t="s">
        <v>22</v>
      </c>
      <c r="E103" t="s">
        <v>33</v>
      </c>
      <c r="F103" t="str">
        <f t="shared" si="1"/>
        <v>USA-NYSE</v>
      </c>
      <c r="G103" t="s">
        <v>57</v>
      </c>
      <c r="H103" t="s">
        <v>157</v>
      </c>
      <c r="I103" t="s">
        <v>31</v>
      </c>
      <c r="J103" t="s">
        <v>36</v>
      </c>
      <c r="K103" t="s">
        <v>52</v>
      </c>
      <c r="L103" t="s">
        <v>19</v>
      </c>
      <c r="M103" t="s">
        <v>42</v>
      </c>
    </row>
    <row r="104" spans="1:13" x14ac:dyDescent="0.35">
      <c r="A104" s="5">
        <v>45952</v>
      </c>
      <c r="B104" s="7">
        <f>EOMONTH(Table1[[#This Row],[Announcement_Date]],0)</f>
        <v>45961</v>
      </c>
      <c r="C104" t="s">
        <v>62</v>
      </c>
      <c r="D104" t="s">
        <v>12</v>
      </c>
      <c r="E104" t="s">
        <v>33</v>
      </c>
      <c r="F104" t="str">
        <f t="shared" si="1"/>
        <v>Canada-NYSE</v>
      </c>
      <c r="G104" t="s">
        <v>29</v>
      </c>
      <c r="H104" t="s">
        <v>158</v>
      </c>
      <c r="I104" t="s">
        <v>25</v>
      </c>
      <c r="J104" t="s">
        <v>17</v>
      </c>
      <c r="K104" t="s">
        <v>52</v>
      </c>
      <c r="L104" t="s">
        <v>27</v>
      </c>
      <c r="M104" t="s">
        <v>55</v>
      </c>
    </row>
    <row r="105" spans="1:13" x14ac:dyDescent="0.35">
      <c r="A105" s="5">
        <v>45949</v>
      </c>
      <c r="B105" s="7">
        <f>EOMONTH(Table1[[#This Row],[Announcement_Date]],0)</f>
        <v>45961</v>
      </c>
      <c r="C105" t="s">
        <v>108</v>
      </c>
      <c r="D105" t="s">
        <v>12</v>
      </c>
      <c r="E105" t="s">
        <v>33</v>
      </c>
      <c r="F105" t="str">
        <f t="shared" si="1"/>
        <v>Canada-NYSE</v>
      </c>
      <c r="G105" t="s">
        <v>14</v>
      </c>
      <c r="H105" t="s">
        <v>159</v>
      </c>
      <c r="I105" t="s">
        <v>25</v>
      </c>
      <c r="J105" t="s">
        <v>26</v>
      </c>
      <c r="K105" t="s">
        <v>45</v>
      </c>
      <c r="L105" t="s">
        <v>19</v>
      </c>
      <c r="M105" t="s">
        <v>20</v>
      </c>
    </row>
    <row r="106" spans="1:13" x14ac:dyDescent="0.35">
      <c r="A106" s="5">
        <v>45993</v>
      </c>
      <c r="B106" s="7">
        <f>EOMONTH(Table1[[#This Row],[Announcement_Date]],0)</f>
        <v>46022</v>
      </c>
      <c r="C106" t="s">
        <v>46</v>
      </c>
      <c r="D106" t="s">
        <v>22</v>
      </c>
      <c r="E106" t="s">
        <v>23</v>
      </c>
      <c r="F106" t="str">
        <f t="shared" si="1"/>
        <v>USA-TSX</v>
      </c>
      <c r="G106" t="s">
        <v>57</v>
      </c>
      <c r="H106" t="s">
        <v>160</v>
      </c>
      <c r="I106" t="s">
        <v>31</v>
      </c>
      <c r="J106" t="s">
        <v>17</v>
      </c>
      <c r="K106" t="s">
        <v>45</v>
      </c>
      <c r="L106" t="s">
        <v>27</v>
      </c>
      <c r="M106" t="s">
        <v>42</v>
      </c>
    </row>
    <row r="107" spans="1:13" x14ac:dyDescent="0.35">
      <c r="A107" s="5">
        <v>45835</v>
      </c>
      <c r="B107" s="7">
        <f>EOMONTH(Table1[[#This Row],[Announcement_Date]],0)</f>
        <v>45838</v>
      </c>
      <c r="C107" t="s">
        <v>62</v>
      </c>
      <c r="D107" t="s">
        <v>12</v>
      </c>
      <c r="E107" t="s">
        <v>13</v>
      </c>
      <c r="F107" t="str">
        <f t="shared" si="1"/>
        <v>Canada-NASDAQ</v>
      </c>
      <c r="G107" t="s">
        <v>29</v>
      </c>
      <c r="H107" t="s">
        <v>161</v>
      </c>
      <c r="I107" t="s">
        <v>25</v>
      </c>
      <c r="J107" t="s">
        <v>17</v>
      </c>
      <c r="K107" t="s">
        <v>40</v>
      </c>
      <c r="L107" t="s">
        <v>27</v>
      </c>
      <c r="M107" t="s">
        <v>55</v>
      </c>
    </row>
    <row r="108" spans="1:13" x14ac:dyDescent="0.35">
      <c r="A108" s="5">
        <v>45879</v>
      </c>
      <c r="B108" s="7">
        <f>EOMONTH(Table1[[#This Row],[Announcement_Date]],0)</f>
        <v>45900</v>
      </c>
      <c r="C108" t="s">
        <v>79</v>
      </c>
      <c r="D108" t="s">
        <v>12</v>
      </c>
      <c r="E108" t="s">
        <v>33</v>
      </c>
      <c r="F108" t="str">
        <f t="shared" si="1"/>
        <v>Canada-NYSE</v>
      </c>
      <c r="G108" t="s">
        <v>47</v>
      </c>
      <c r="H108" t="s">
        <v>162</v>
      </c>
      <c r="I108" t="s">
        <v>16</v>
      </c>
      <c r="J108" t="s">
        <v>17</v>
      </c>
      <c r="K108" t="s">
        <v>18</v>
      </c>
      <c r="L108" t="s">
        <v>27</v>
      </c>
      <c r="M108" t="s">
        <v>20</v>
      </c>
    </row>
    <row r="109" spans="1:13" x14ac:dyDescent="0.35">
      <c r="A109" s="5">
        <v>45867</v>
      </c>
      <c r="B109" s="7">
        <f>EOMONTH(Table1[[#This Row],[Announcement_Date]],0)</f>
        <v>45869</v>
      </c>
      <c r="C109" t="s">
        <v>21</v>
      </c>
      <c r="D109" t="s">
        <v>12</v>
      </c>
      <c r="E109" t="s">
        <v>23</v>
      </c>
      <c r="F109" t="str">
        <f t="shared" si="1"/>
        <v>Canada-TSX</v>
      </c>
      <c r="G109" t="s">
        <v>43</v>
      </c>
      <c r="H109" t="s">
        <v>163</v>
      </c>
      <c r="I109" t="s">
        <v>31</v>
      </c>
      <c r="J109" t="s">
        <v>36</v>
      </c>
      <c r="K109" t="s">
        <v>18</v>
      </c>
      <c r="L109" t="s">
        <v>27</v>
      </c>
      <c r="M109" t="s">
        <v>55</v>
      </c>
    </row>
    <row r="110" spans="1:13" x14ac:dyDescent="0.35">
      <c r="A110" s="5">
        <v>46090</v>
      </c>
      <c r="B110" s="7">
        <f>EOMONTH(Table1[[#This Row],[Announcement_Date]],0)</f>
        <v>46112</v>
      </c>
      <c r="C110" t="s">
        <v>28</v>
      </c>
      <c r="D110" t="s">
        <v>12</v>
      </c>
      <c r="E110" t="s">
        <v>23</v>
      </c>
      <c r="F110" t="str">
        <f t="shared" si="1"/>
        <v>Canada-TSX</v>
      </c>
      <c r="G110" t="s">
        <v>43</v>
      </c>
      <c r="H110" t="s">
        <v>164</v>
      </c>
      <c r="I110" t="s">
        <v>31</v>
      </c>
      <c r="J110" t="s">
        <v>26</v>
      </c>
      <c r="K110" t="s">
        <v>52</v>
      </c>
      <c r="L110" t="s">
        <v>27</v>
      </c>
      <c r="M110" t="s">
        <v>42</v>
      </c>
    </row>
    <row r="111" spans="1:13" x14ac:dyDescent="0.35">
      <c r="A111" s="5">
        <v>46063</v>
      </c>
      <c r="B111" s="7">
        <f>EOMONTH(Table1[[#This Row],[Announcement_Date]],0)</f>
        <v>46081</v>
      </c>
      <c r="C111" t="s">
        <v>32</v>
      </c>
      <c r="D111" t="s">
        <v>12</v>
      </c>
      <c r="E111" t="s">
        <v>13</v>
      </c>
      <c r="F111" t="str">
        <f t="shared" si="1"/>
        <v>Canada-NASDAQ</v>
      </c>
      <c r="G111" t="s">
        <v>34</v>
      </c>
      <c r="H111" t="s">
        <v>165</v>
      </c>
      <c r="I111" t="s">
        <v>31</v>
      </c>
      <c r="J111" t="s">
        <v>26</v>
      </c>
      <c r="K111" t="s">
        <v>64</v>
      </c>
      <c r="L111" t="s">
        <v>19</v>
      </c>
      <c r="M111" t="s">
        <v>20</v>
      </c>
    </row>
    <row r="112" spans="1:13" x14ac:dyDescent="0.35">
      <c r="A112" s="5">
        <v>45883</v>
      </c>
      <c r="B112" s="7">
        <f>EOMONTH(Table1[[#This Row],[Announcement_Date]],0)</f>
        <v>45900</v>
      </c>
      <c r="C112" t="s">
        <v>32</v>
      </c>
      <c r="D112" t="s">
        <v>22</v>
      </c>
      <c r="E112" t="s">
        <v>23</v>
      </c>
      <c r="F112" t="str">
        <f t="shared" si="1"/>
        <v>USA-TSX</v>
      </c>
      <c r="G112" t="s">
        <v>47</v>
      </c>
      <c r="H112" t="s">
        <v>166</v>
      </c>
      <c r="I112" t="s">
        <v>16</v>
      </c>
      <c r="J112" t="s">
        <v>17</v>
      </c>
      <c r="K112" t="s">
        <v>64</v>
      </c>
      <c r="L112" t="s">
        <v>27</v>
      </c>
      <c r="M112" t="s">
        <v>20</v>
      </c>
    </row>
    <row r="113" spans="1:13" x14ac:dyDescent="0.35">
      <c r="A113" s="5">
        <v>45784</v>
      </c>
      <c r="B113" s="7">
        <f>EOMONTH(Table1[[#This Row],[Announcement_Date]],0)</f>
        <v>45808</v>
      </c>
      <c r="C113" t="s">
        <v>62</v>
      </c>
      <c r="D113" t="s">
        <v>22</v>
      </c>
      <c r="E113" t="s">
        <v>13</v>
      </c>
      <c r="F113" t="str">
        <f t="shared" si="1"/>
        <v>USA-NASDAQ</v>
      </c>
      <c r="G113" t="s">
        <v>57</v>
      </c>
      <c r="H113" t="s">
        <v>167</v>
      </c>
      <c r="I113" t="s">
        <v>31</v>
      </c>
      <c r="J113" t="s">
        <v>26</v>
      </c>
      <c r="K113" t="s">
        <v>49</v>
      </c>
      <c r="L113" t="s">
        <v>27</v>
      </c>
      <c r="M113" t="s">
        <v>42</v>
      </c>
    </row>
    <row r="114" spans="1:13" x14ac:dyDescent="0.35">
      <c r="A114" s="5">
        <v>45983</v>
      </c>
      <c r="B114" s="7">
        <f>EOMONTH(Table1[[#This Row],[Announcement_Date]],0)</f>
        <v>45991</v>
      </c>
      <c r="C114" t="s">
        <v>88</v>
      </c>
      <c r="D114" t="s">
        <v>22</v>
      </c>
      <c r="E114" t="s">
        <v>23</v>
      </c>
      <c r="F114" t="str">
        <f t="shared" si="1"/>
        <v>USA-TSX</v>
      </c>
      <c r="G114" t="s">
        <v>57</v>
      </c>
      <c r="H114" t="s">
        <v>168</v>
      </c>
      <c r="I114" t="s">
        <v>25</v>
      </c>
      <c r="J114" t="s">
        <v>26</v>
      </c>
      <c r="K114" t="s">
        <v>45</v>
      </c>
      <c r="L114" t="s">
        <v>19</v>
      </c>
      <c r="M114" t="s">
        <v>55</v>
      </c>
    </row>
    <row r="115" spans="1:13" x14ac:dyDescent="0.35">
      <c r="A115" s="5">
        <v>45943</v>
      </c>
      <c r="B115" s="7">
        <f>EOMONTH(Table1[[#This Row],[Announcement_Date]],0)</f>
        <v>45961</v>
      </c>
      <c r="C115" t="s">
        <v>21</v>
      </c>
      <c r="D115" t="s">
        <v>22</v>
      </c>
      <c r="E115" t="s">
        <v>23</v>
      </c>
      <c r="F115" t="str">
        <f t="shared" si="1"/>
        <v>USA-TSX</v>
      </c>
      <c r="G115" t="s">
        <v>47</v>
      </c>
      <c r="H115" t="s">
        <v>169</v>
      </c>
      <c r="I115" t="s">
        <v>25</v>
      </c>
      <c r="J115" t="s">
        <v>26</v>
      </c>
      <c r="K115" t="s">
        <v>18</v>
      </c>
      <c r="L115" t="s">
        <v>27</v>
      </c>
      <c r="M115" t="s">
        <v>42</v>
      </c>
    </row>
    <row r="116" spans="1:13" x14ac:dyDescent="0.35">
      <c r="A116" s="5">
        <v>45976</v>
      </c>
      <c r="B116" s="7">
        <f>EOMONTH(Table1[[#This Row],[Announcement_Date]],0)</f>
        <v>45991</v>
      </c>
      <c r="C116" t="s">
        <v>38</v>
      </c>
      <c r="D116" t="s">
        <v>22</v>
      </c>
      <c r="E116" t="s">
        <v>33</v>
      </c>
      <c r="F116" t="str">
        <f t="shared" si="1"/>
        <v>USA-NYSE</v>
      </c>
      <c r="G116" t="s">
        <v>14</v>
      </c>
      <c r="H116" t="s">
        <v>170</v>
      </c>
      <c r="I116" t="s">
        <v>31</v>
      </c>
      <c r="J116" t="s">
        <v>36</v>
      </c>
      <c r="K116" t="s">
        <v>45</v>
      </c>
      <c r="L116" t="s">
        <v>41</v>
      </c>
      <c r="M116" t="s">
        <v>20</v>
      </c>
    </row>
    <row r="117" spans="1:13" x14ac:dyDescent="0.35">
      <c r="A117" s="5">
        <v>46094</v>
      </c>
      <c r="B117" s="7">
        <f>EOMONTH(Table1[[#This Row],[Announcement_Date]],0)</f>
        <v>46112</v>
      </c>
      <c r="C117" t="s">
        <v>32</v>
      </c>
      <c r="D117" t="s">
        <v>12</v>
      </c>
      <c r="E117" t="s">
        <v>13</v>
      </c>
      <c r="F117" t="str">
        <f t="shared" si="1"/>
        <v>Canada-NASDAQ</v>
      </c>
      <c r="G117" t="s">
        <v>29</v>
      </c>
      <c r="H117" t="s">
        <v>171</v>
      </c>
      <c r="I117" t="s">
        <v>16</v>
      </c>
      <c r="J117" t="s">
        <v>36</v>
      </c>
      <c r="K117" t="s">
        <v>64</v>
      </c>
      <c r="L117" t="s">
        <v>19</v>
      </c>
      <c r="M117" t="s">
        <v>55</v>
      </c>
    </row>
    <row r="118" spans="1:13" x14ac:dyDescent="0.35">
      <c r="A118" s="5">
        <v>45812</v>
      </c>
      <c r="B118" s="7">
        <f>EOMONTH(Table1[[#This Row],[Announcement_Date]],0)</f>
        <v>45838</v>
      </c>
      <c r="C118" t="s">
        <v>46</v>
      </c>
      <c r="D118" t="s">
        <v>12</v>
      </c>
      <c r="E118" t="s">
        <v>33</v>
      </c>
      <c r="F118" t="str">
        <f t="shared" si="1"/>
        <v>Canada-NYSE</v>
      </c>
      <c r="G118" t="s">
        <v>43</v>
      </c>
      <c r="H118" t="s">
        <v>172</v>
      </c>
      <c r="I118" t="s">
        <v>31</v>
      </c>
      <c r="J118" t="s">
        <v>17</v>
      </c>
      <c r="K118" t="s">
        <v>37</v>
      </c>
      <c r="L118" t="s">
        <v>19</v>
      </c>
      <c r="M118" t="s">
        <v>55</v>
      </c>
    </row>
    <row r="119" spans="1:13" x14ac:dyDescent="0.35">
      <c r="A119" s="5">
        <v>46052</v>
      </c>
      <c r="B119" s="7">
        <f>EOMONTH(Table1[[#This Row],[Announcement_Date]],0)</f>
        <v>46053</v>
      </c>
      <c r="C119" t="s">
        <v>62</v>
      </c>
      <c r="D119" t="s">
        <v>22</v>
      </c>
      <c r="E119" t="s">
        <v>23</v>
      </c>
      <c r="F119" t="str">
        <f t="shared" si="1"/>
        <v>USA-TSX</v>
      </c>
      <c r="G119" t="s">
        <v>47</v>
      </c>
      <c r="H119" t="s">
        <v>173</v>
      </c>
      <c r="I119" t="s">
        <v>31</v>
      </c>
      <c r="J119" t="s">
        <v>17</v>
      </c>
      <c r="K119" t="s">
        <v>37</v>
      </c>
      <c r="L119" t="s">
        <v>19</v>
      </c>
      <c r="M119" t="s">
        <v>42</v>
      </c>
    </row>
    <row r="120" spans="1:13" x14ac:dyDescent="0.35">
      <c r="A120" s="5">
        <v>46073</v>
      </c>
      <c r="B120" s="7">
        <f>EOMONTH(Table1[[#This Row],[Announcement_Date]],0)</f>
        <v>46081</v>
      </c>
      <c r="C120" t="s">
        <v>56</v>
      </c>
      <c r="D120" t="s">
        <v>12</v>
      </c>
      <c r="E120" t="s">
        <v>33</v>
      </c>
      <c r="F120" t="str">
        <f t="shared" si="1"/>
        <v>Canada-NYSE</v>
      </c>
      <c r="G120" t="s">
        <v>14</v>
      </c>
      <c r="H120" t="s">
        <v>174</v>
      </c>
      <c r="I120" t="s">
        <v>31</v>
      </c>
      <c r="J120" t="s">
        <v>17</v>
      </c>
      <c r="K120" t="s">
        <v>45</v>
      </c>
      <c r="L120" t="s">
        <v>27</v>
      </c>
      <c r="M120" t="s">
        <v>20</v>
      </c>
    </row>
    <row r="121" spans="1:13" x14ac:dyDescent="0.35">
      <c r="A121" s="5">
        <v>46069</v>
      </c>
      <c r="B121" s="7">
        <f>EOMONTH(Table1[[#This Row],[Announcement_Date]],0)</f>
        <v>46081</v>
      </c>
      <c r="C121" t="s">
        <v>53</v>
      </c>
      <c r="D121" t="s">
        <v>12</v>
      </c>
      <c r="E121" t="s">
        <v>13</v>
      </c>
      <c r="F121" t="str">
        <f t="shared" si="1"/>
        <v>Canada-NASDAQ</v>
      </c>
      <c r="G121" t="s">
        <v>34</v>
      </c>
      <c r="H121" t="s">
        <v>175</v>
      </c>
      <c r="I121" t="s">
        <v>25</v>
      </c>
      <c r="J121" t="s">
        <v>36</v>
      </c>
      <c r="K121" t="s">
        <v>37</v>
      </c>
      <c r="L121" t="s">
        <v>41</v>
      </c>
      <c r="M121" t="s">
        <v>42</v>
      </c>
    </row>
    <row r="122" spans="1:13" x14ac:dyDescent="0.35">
      <c r="A122" s="5">
        <v>45938</v>
      </c>
      <c r="B122" s="7">
        <f>EOMONTH(Table1[[#This Row],[Announcement_Date]],0)</f>
        <v>45961</v>
      </c>
      <c r="C122" t="s">
        <v>28</v>
      </c>
      <c r="D122" t="s">
        <v>22</v>
      </c>
      <c r="E122" t="s">
        <v>23</v>
      </c>
      <c r="F122" t="str">
        <f t="shared" si="1"/>
        <v>USA-TSX</v>
      </c>
      <c r="G122" t="s">
        <v>47</v>
      </c>
      <c r="H122" t="s">
        <v>176</v>
      </c>
      <c r="I122" t="s">
        <v>16</v>
      </c>
      <c r="J122" t="s">
        <v>36</v>
      </c>
      <c r="K122" t="s">
        <v>37</v>
      </c>
      <c r="L122" t="s">
        <v>41</v>
      </c>
      <c r="M122" t="s">
        <v>20</v>
      </c>
    </row>
    <row r="123" spans="1:13" x14ac:dyDescent="0.35">
      <c r="A123" s="5">
        <v>45778</v>
      </c>
      <c r="B123" s="7">
        <f>EOMONTH(Table1[[#This Row],[Announcement_Date]],0)</f>
        <v>45808</v>
      </c>
      <c r="C123" t="s">
        <v>11</v>
      </c>
      <c r="D123" t="s">
        <v>12</v>
      </c>
      <c r="E123" t="s">
        <v>23</v>
      </c>
      <c r="F123" t="str">
        <f t="shared" si="1"/>
        <v>Canada-TSX</v>
      </c>
      <c r="G123" t="s">
        <v>34</v>
      </c>
      <c r="H123" t="s">
        <v>177</v>
      </c>
      <c r="I123" t="s">
        <v>16</v>
      </c>
      <c r="J123" t="s">
        <v>17</v>
      </c>
      <c r="K123" t="s">
        <v>18</v>
      </c>
      <c r="L123" t="s">
        <v>41</v>
      </c>
      <c r="M123" t="s">
        <v>20</v>
      </c>
    </row>
    <row r="124" spans="1:13" x14ac:dyDescent="0.35">
      <c r="A124" s="5">
        <v>45813</v>
      </c>
      <c r="B124" s="7">
        <f>EOMONTH(Table1[[#This Row],[Announcement_Date]],0)</f>
        <v>45838</v>
      </c>
      <c r="C124" t="s">
        <v>108</v>
      </c>
      <c r="D124" t="s">
        <v>12</v>
      </c>
      <c r="E124" t="s">
        <v>33</v>
      </c>
      <c r="F124" t="str">
        <f t="shared" si="1"/>
        <v>Canada-NYSE</v>
      </c>
      <c r="G124" t="s">
        <v>43</v>
      </c>
      <c r="H124" t="s">
        <v>178</v>
      </c>
      <c r="I124" t="s">
        <v>16</v>
      </c>
      <c r="J124" t="s">
        <v>26</v>
      </c>
      <c r="K124" t="s">
        <v>45</v>
      </c>
      <c r="L124" t="s">
        <v>19</v>
      </c>
      <c r="M124" t="s">
        <v>55</v>
      </c>
    </row>
    <row r="125" spans="1:13" x14ac:dyDescent="0.35">
      <c r="A125" s="5">
        <v>45901</v>
      </c>
      <c r="B125" s="7">
        <f>EOMONTH(Table1[[#This Row],[Announcement_Date]],0)</f>
        <v>45930</v>
      </c>
      <c r="C125" t="s">
        <v>28</v>
      </c>
      <c r="D125" t="s">
        <v>22</v>
      </c>
      <c r="E125" t="s">
        <v>13</v>
      </c>
      <c r="F125" t="str">
        <f t="shared" si="1"/>
        <v>USA-NASDAQ</v>
      </c>
      <c r="G125" t="s">
        <v>57</v>
      </c>
      <c r="H125" t="s">
        <v>179</v>
      </c>
      <c r="I125" t="s">
        <v>25</v>
      </c>
      <c r="J125" t="s">
        <v>17</v>
      </c>
      <c r="K125" t="s">
        <v>45</v>
      </c>
      <c r="L125" t="s">
        <v>19</v>
      </c>
      <c r="M125" t="s">
        <v>20</v>
      </c>
    </row>
    <row r="126" spans="1:13" x14ac:dyDescent="0.35">
      <c r="A126" s="5">
        <v>45805</v>
      </c>
      <c r="B126" s="7">
        <f>EOMONTH(Table1[[#This Row],[Announcement_Date]],0)</f>
        <v>45808</v>
      </c>
      <c r="C126" t="s">
        <v>21</v>
      </c>
      <c r="D126" t="s">
        <v>22</v>
      </c>
      <c r="E126" t="s">
        <v>23</v>
      </c>
      <c r="F126" t="str">
        <f t="shared" si="1"/>
        <v>USA-TSX</v>
      </c>
      <c r="G126" t="s">
        <v>34</v>
      </c>
      <c r="H126" t="s">
        <v>180</v>
      </c>
      <c r="I126" t="s">
        <v>25</v>
      </c>
      <c r="J126" t="s">
        <v>26</v>
      </c>
      <c r="K126" t="s">
        <v>40</v>
      </c>
      <c r="L126" t="s">
        <v>27</v>
      </c>
      <c r="M126" t="s">
        <v>55</v>
      </c>
    </row>
    <row r="127" spans="1:13" x14ac:dyDescent="0.35">
      <c r="A127" s="5">
        <v>46077</v>
      </c>
      <c r="B127" s="7">
        <f>EOMONTH(Table1[[#This Row],[Announcement_Date]],0)</f>
        <v>46081</v>
      </c>
      <c r="C127" t="s">
        <v>75</v>
      </c>
      <c r="D127" t="s">
        <v>12</v>
      </c>
      <c r="E127" t="s">
        <v>13</v>
      </c>
      <c r="F127" t="str">
        <f t="shared" si="1"/>
        <v>Canada-NASDAQ</v>
      </c>
      <c r="G127" t="s">
        <v>34</v>
      </c>
      <c r="H127" t="s">
        <v>181</v>
      </c>
      <c r="I127" t="s">
        <v>25</v>
      </c>
      <c r="J127" t="s">
        <v>17</v>
      </c>
      <c r="K127" t="s">
        <v>45</v>
      </c>
      <c r="L127" t="s">
        <v>27</v>
      </c>
      <c r="M127" t="s">
        <v>42</v>
      </c>
    </row>
    <row r="128" spans="1:13" x14ac:dyDescent="0.35">
      <c r="A128" s="5">
        <v>45809</v>
      </c>
      <c r="B128" s="7">
        <f>EOMONTH(Table1[[#This Row],[Announcement_Date]],0)</f>
        <v>45838</v>
      </c>
      <c r="C128" t="s">
        <v>62</v>
      </c>
      <c r="D128" t="s">
        <v>22</v>
      </c>
      <c r="E128" t="s">
        <v>13</v>
      </c>
      <c r="F128" t="str">
        <f t="shared" si="1"/>
        <v>USA-NASDAQ</v>
      </c>
      <c r="G128" t="s">
        <v>14</v>
      </c>
      <c r="H128" t="s">
        <v>182</v>
      </c>
      <c r="I128" t="s">
        <v>16</v>
      </c>
      <c r="J128" t="s">
        <v>17</v>
      </c>
      <c r="K128" t="s">
        <v>37</v>
      </c>
      <c r="L128" t="s">
        <v>19</v>
      </c>
      <c r="M128" t="s">
        <v>55</v>
      </c>
    </row>
    <row r="129" spans="1:13" x14ac:dyDescent="0.35">
      <c r="A129" s="5">
        <v>46025</v>
      </c>
      <c r="B129" s="7">
        <f>EOMONTH(Table1[[#This Row],[Announcement_Date]],0)</f>
        <v>46053</v>
      </c>
      <c r="C129" t="s">
        <v>21</v>
      </c>
      <c r="D129" t="s">
        <v>12</v>
      </c>
      <c r="E129" t="s">
        <v>23</v>
      </c>
      <c r="F129" t="str">
        <f t="shared" si="1"/>
        <v>Canada-TSX</v>
      </c>
      <c r="G129" t="s">
        <v>47</v>
      </c>
      <c r="H129" t="s">
        <v>183</v>
      </c>
      <c r="I129" t="s">
        <v>16</v>
      </c>
      <c r="J129" t="s">
        <v>17</v>
      </c>
      <c r="K129" t="s">
        <v>37</v>
      </c>
      <c r="L129" t="s">
        <v>41</v>
      </c>
      <c r="M129" t="s">
        <v>20</v>
      </c>
    </row>
    <row r="130" spans="1:13" x14ac:dyDescent="0.35">
      <c r="A130" s="5">
        <v>45770</v>
      </c>
      <c r="B130" s="7">
        <f>EOMONTH(Table1[[#This Row],[Announcement_Date]],0)</f>
        <v>45777</v>
      </c>
      <c r="C130" t="s">
        <v>88</v>
      </c>
      <c r="D130" t="s">
        <v>22</v>
      </c>
      <c r="E130" t="s">
        <v>13</v>
      </c>
      <c r="F130" t="str">
        <f t="shared" si="1"/>
        <v>USA-NASDAQ</v>
      </c>
      <c r="G130" t="s">
        <v>43</v>
      </c>
      <c r="H130" t="s">
        <v>184</v>
      </c>
      <c r="I130" t="s">
        <v>25</v>
      </c>
      <c r="J130" t="s">
        <v>36</v>
      </c>
      <c r="K130" t="s">
        <v>40</v>
      </c>
      <c r="L130" t="s">
        <v>27</v>
      </c>
      <c r="M130" t="s">
        <v>42</v>
      </c>
    </row>
    <row r="131" spans="1:13" x14ac:dyDescent="0.35">
      <c r="A131" s="5">
        <v>46059</v>
      </c>
      <c r="B131" s="7">
        <f>EOMONTH(Table1[[#This Row],[Announcement_Date]],0)</f>
        <v>46081</v>
      </c>
      <c r="C131" t="s">
        <v>53</v>
      </c>
      <c r="D131" t="s">
        <v>12</v>
      </c>
      <c r="E131" t="s">
        <v>23</v>
      </c>
      <c r="F131" t="str">
        <f t="shared" ref="F131:F194" si="2">CONCATENATE(D131,"-",E131)</f>
        <v>Canada-TSX</v>
      </c>
      <c r="G131" t="s">
        <v>43</v>
      </c>
      <c r="H131" t="s">
        <v>185</v>
      </c>
      <c r="I131" t="s">
        <v>25</v>
      </c>
      <c r="J131" t="s">
        <v>26</v>
      </c>
      <c r="K131" t="s">
        <v>45</v>
      </c>
      <c r="L131" t="s">
        <v>27</v>
      </c>
      <c r="M131" t="s">
        <v>42</v>
      </c>
    </row>
    <row r="132" spans="1:13" x14ac:dyDescent="0.35">
      <c r="A132" s="5">
        <v>45927</v>
      </c>
      <c r="B132" s="7">
        <f>EOMONTH(Table1[[#This Row],[Announcement_Date]],0)</f>
        <v>45930</v>
      </c>
      <c r="C132" t="s">
        <v>108</v>
      </c>
      <c r="D132" t="s">
        <v>22</v>
      </c>
      <c r="E132" t="s">
        <v>33</v>
      </c>
      <c r="F132" t="str">
        <f t="shared" si="2"/>
        <v>USA-NYSE</v>
      </c>
      <c r="G132" t="s">
        <v>47</v>
      </c>
      <c r="H132" t="s">
        <v>186</v>
      </c>
      <c r="I132" t="s">
        <v>16</v>
      </c>
      <c r="J132" t="s">
        <v>17</v>
      </c>
      <c r="K132" t="s">
        <v>40</v>
      </c>
      <c r="L132" t="s">
        <v>41</v>
      </c>
      <c r="M132" t="s">
        <v>20</v>
      </c>
    </row>
    <row r="133" spans="1:13" x14ac:dyDescent="0.35">
      <c r="A133" s="5">
        <v>46076</v>
      </c>
      <c r="B133" s="7">
        <f>EOMONTH(Table1[[#This Row],[Announcement_Date]],0)</f>
        <v>46081</v>
      </c>
      <c r="C133" t="s">
        <v>46</v>
      </c>
      <c r="D133" t="s">
        <v>22</v>
      </c>
      <c r="E133" t="s">
        <v>33</v>
      </c>
      <c r="F133" t="str">
        <f t="shared" si="2"/>
        <v>USA-NYSE</v>
      </c>
      <c r="G133" t="s">
        <v>47</v>
      </c>
      <c r="H133" t="s">
        <v>187</v>
      </c>
      <c r="I133" t="s">
        <v>31</v>
      </c>
      <c r="J133" t="s">
        <v>26</v>
      </c>
      <c r="K133" t="s">
        <v>37</v>
      </c>
      <c r="L133" t="s">
        <v>19</v>
      </c>
      <c r="M133" t="s">
        <v>20</v>
      </c>
    </row>
    <row r="134" spans="1:13" x14ac:dyDescent="0.35">
      <c r="A134" s="5">
        <v>45924</v>
      </c>
      <c r="B134" s="7">
        <f>EOMONTH(Table1[[#This Row],[Announcement_Date]],0)</f>
        <v>45930</v>
      </c>
      <c r="C134" t="s">
        <v>88</v>
      </c>
      <c r="D134" t="s">
        <v>12</v>
      </c>
      <c r="E134" t="s">
        <v>33</v>
      </c>
      <c r="F134" t="str">
        <f t="shared" si="2"/>
        <v>Canada-NYSE</v>
      </c>
      <c r="G134" t="s">
        <v>57</v>
      </c>
      <c r="H134" t="s">
        <v>188</v>
      </c>
      <c r="I134" t="s">
        <v>16</v>
      </c>
      <c r="J134" t="s">
        <v>17</v>
      </c>
      <c r="K134" t="s">
        <v>49</v>
      </c>
      <c r="L134" t="s">
        <v>19</v>
      </c>
      <c r="M134" t="s">
        <v>55</v>
      </c>
    </row>
    <row r="135" spans="1:13" x14ac:dyDescent="0.35">
      <c r="A135" s="5">
        <v>46033</v>
      </c>
      <c r="B135" s="7">
        <f>EOMONTH(Table1[[#This Row],[Announcement_Date]],0)</f>
        <v>46053</v>
      </c>
      <c r="C135" t="s">
        <v>32</v>
      </c>
      <c r="D135" t="s">
        <v>22</v>
      </c>
      <c r="E135" t="s">
        <v>33</v>
      </c>
      <c r="F135" t="str">
        <f t="shared" si="2"/>
        <v>USA-NYSE</v>
      </c>
      <c r="G135" t="s">
        <v>57</v>
      </c>
      <c r="H135" t="s">
        <v>189</v>
      </c>
      <c r="I135" t="s">
        <v>16</v>
      </c>
      <c r="J135" t="s">
        <v>26</v>
      </c>
      <c r="K135" t="s">
        <v>18</v>
      </c>
      <c r="L135" t="s">
        <v>27</v>
      </c>
      <c r="M135" t="s">
        <v>55</v>
      </c>
    </row>
    <row r="136" spans="1:13" x14ac:dyDescent="0.35">
      <c r="A136" s="5">
        <v>45921</v>
      </c>
      <c r="B136" s="7">
        <f>EOMONTH(Table1[[#This Row],[Announcement_Date]],0)</f>
        <v>45930</v>
      </c>
      <c r="C136" t="s">
        <v>21</v>
      </c>
      <c r="D136" t="s">
        <v>22</v>
      </c>
      <c r="E136" t="s">
        <v>33</v>
      </c>
      <c r="F136" t="str">
        <f t="shared" si="2"/>
        <v>USA-NYSE</v>
      </c>
      <c r="G136" t="s">
        <v>14</v>
      </c>
      <c r="H136" t="s">
        <v>190</v>
      </c>
      <c r="I136" t="s">
        <v>16</v>
      </c>
      <c r="J136" t="s">
        <v>36</v>
      </c>
      <c r="K136" t="s">
        <v>45</v>
      </c>
      <c r="L136" t="s">
        <v>19</v>
      </c>
      <c r="M136" t="s">
        <v>42</v>
      </c>
    </row>
    <row r="137" spans="1:13" x14ac:dyDescent="0.35">
      <c r="A137" s="5">
        <v>45762</v>
      </c>
      <c r="B137" s="7">
        <f>EOMONTH(Table1[[#This Row],[Announcement_Date]],0)</f>
        <v>45777</v>
      </c>
      <c r="C137" t="s">
        <v>79</v>
      </c>
      <c r="D137" t="s">
        <v>22</v>
      </c>
      <c r="E137" t="s">
        <v>23</v>
      </c>
      <c r="F137" t="str">
        <f t="shared" si="2"/>
        <v>USA-TSX</v>
      </c>
      <c r="G137" t="s">
        <v>47</v>
      </c>
      <c r="H137" t="s">
        <v>191</v>
      </c>
      <c r="I137" t="s">
        <v>31</v>
      </c>
      <c r="J137" t="s">
        <v>36</v>
      </c>
      <c r="K137" t="s">
        <v>52</v>
      </c>
      <c r="L137" t="s">
        <v>19</v>
      </c>
      <c r="M137" t="s">
        <v>55</v>
      </c>
    </row>
    <row r="138" spans="1:13" x14ac:dyDescent="0.35">
      <c r="A138" s="5">
        <v>45886</v>
      </c>
      <c r="B138" s="7">
        <f>EOMONTH(Table1[[#This Row],[Announcement_Date]],0)</f>
        <v>45900</v>
      </c>
      <c r="C138" t="s">
        <v>53</v>
      </c>
      <c r="D138" t="s">
        <v>22</v>
      </c>
      <c r="E138" t="s">
        <v>33</v>
      </c>
      <c r="F138" t="str">
        <f t="shared" si="2"/>
        <v>USA-NYSE</v>
      </c>
      <c r="G138" t="s">
        <v>34</v>
      </c>
      <c r="H138" t="s">
        <v>192</v>
      </c>
      <c r="I138" t="s">
        <v>31</v>
      </c>
      <c r="J138" t="s">
        <v>26</v>
      </c>
      <c r="K138" t="s">
        <v>37</v>
      </c>
      <c r="L138" t="s">
        <v>27</v>
      </c>
      <c r="M138" t="s">
        <v>42</v>
      </c>
    </row>
    <row r="139" spans="1:13" x14ac:dyDescent="0.35">
      <c r="A139" s="5">
        <v>45953</v>
      </c>
      <c r="B139" s="7">
        <f>EOMONTH(Table1[[#This Row],[Announcement_Date]],0)</f>
        <v>45961</v>
      </c>
      <c r="C139" t="s">
        <v>108</v>
      </c>
      <c r="D139" t="s">
        <v>22</v>
      </c>
      <c r="E139" t="s">
        <v>33</v>
      </c>
      <c r="F139" t="str">
        <f t="shared" si="2"/>
        <v>USA-NYSE</v>
      </c>
      <c r="G139" t="s">
        <v>34</v>
      </c>
      <c r="H139" t="s">
        <v>193</v>
      </c>
      <c r="I139" t="s">
        <v>31</v>
      </c>
      <c r="J139" t="s">
        <v>26</v>
      </c>
      <c r="K139" t="s">
        <v>18</v>
      </c>
      <c r="L139" t="s">
        <v>27</v>
      </c>
      <c r="M139" t="s">
        <v>42</v>
      </c>
    </row>
    <row r="140" spans="1:13" x14ac:dyDescent="0.35">
      <c r="A140" s="5">
        <v>45897</v>
      </c>
      <c r="B140" s="7">
        <f>EOMONTH(Table1[[#This Row],[Announcement_Date]],0)</f>
        <v>45900</v>
      </c>
      <c r="C140" t="s">
        <v>53</v>
      </c>
      <c r="D140" t="s">
        <v>12</v>
      </c>
      <c r="E140" t="s">
        <v>23</v>
      </c>
      <c r="F140" t="str">
        <f t="shared" si="2"/>
        <v>Canada-TSX</v>
      </c>
      <c r="G140" t="s">
        <v>34</v>
      </c>
      <c r="H140" t="s">
        <v>194</v>
      </c>
      <c r="I140" t="s">
        <v>25</v>
      </c>
      <c r="J140" t="s">
        <v>17</v>
      </c>
      <c r="K140" t="s">
        <v>49</v>
      </c>
      <c r="L140" t="s">
        <v>27</v>
      </c>
      <c r="M140" t="s">
        <v>55</v>
      </c>
    </row>
    <row r="141" spans="1:13" x14ac:dyDescent="0.35">
      <c r="A141" s="5">
        <v>45875</v>
      </c>
      <c r="B141" s="7">
        <f>EOMONTH(Table1[[#This Row],[Announcement_Date]],0)</f>
        <v>45900</v>
      </c>
      <c r="C141" t="s">
        <v>53</v>
      </c>
      <c r="D141" t="s">
        <v>22</v>
      </c>
      <c r="E141" t="s">
        <v>23</v>
      </c>
      <c r="F141" t="str">
        <f t="shared" si="2"/>
        <v>USA-TSX</v>
      </c>
      <c r="G141" t="s">
        <v>57</v>
      </c>
      <c r="H141" t="s">
        <v>195</v>
      </c>
      <c r="I141" t="s">
        <v>16</v>
      </c>
      <c r="J141" t="s">
        <v>26</v>
      </c>
      <c r="K141" t="s">
        <v>49</v>
      </c>
      <c r="L141" t="s">
        <v>19</v>
      </c>
      <c r="M141" t="s">
        <v>42</v>
      </c>
    </row>
    <row r="142" spans="1:13" x14ac:dyDescent="0.35">
      <c r="A142" s="5">
        <v>45773</v>
      </c>
      <c r="B142" s="7">
        <f>EOMONTH(Table1[[#This Row],[Announcement_Date]],0)</f>
        <v>45777</v>
      </c>
      <c r="C142" t="s">
        <v>50</v>
      </c>
      <c r="D142" t="s">
        <v>22</v>
      </c>
      <c r="E142" t="s">
        <v>23</v>
      </c>
      <c r="F142" t="str">
        <f t="shared" si="2"/>
        <v>USA-TSX</v>
      </c>
      <c r="G142" t="s">
        <v>47</v>
      </c>
      <c r="H142" t="s">
        <v>196</v>
      </c>
      <c r="I142" t="s">
        <v>31</v>
      </c>
      <c r="J142" t="s">
        <v>26</v>
      </c>
      <c r="K142" t="s">
        <v>40</v>
      </c>
      <c r="L142" t="s">
        <v>41</v>
      </c>
      <c r="M142" t="s">
        <v>42</v>
      </c>
    </row>
    <row r="143" spans="1:13" x14ac:dyDescent="0.35">
      <c r="A143" s="5">
        <v>46052</v>
      </c>
      <c r="B143" s="7">
        <f>EOMONTH(Table1[[#This Row],[Announcement_Date]],0)</f>
        <v>46053</v>
      </c>
      <c r="C143" t="s">
        <v>21</v>
      </c>
      <c r="D143" t="s">
        <v>12</v>
      </c>
      <c r="E143" t="s">
        <v>33</v>
      </c>
      <c r="F143" t="str">
        <f t="shared" si="2"/>
        <v>Canada-NYSE</v>
      </c>
      <c r="G143" t="s">
        <v>34</v>
      </c>
      <c r="H143" t="s">
        <v>197</v>
      </c>
      <c r="I143" t="s">
        <v>25</v>
      </c>
      <c r="J143" t="s">
        <v>36</v>
      </c>
      <c r="K143" t="s">
        <v>49</v>
      </c>
      <c r="L143" t="s">
        <v>19</v>
      </c>
      <c r="M143" t="s">
        <v>20</v>
      </c>
    </row>
    <row r="144" spans="1:13" x14ac:dyDescent="0.35">
      <c r="A144" s="5">
        <v>45892</v>
      </c>
      <c r="B144" s="7">
        <f>EOMONTH(Table1[[#This Row],[Announcement_Date]],0)</f>
        <v>45900</v>
      </c>
      <c r="C144" t="s">
        <v>56</v>
      </c>
      <c r="D144" t="s">
        <v>12</v>
      </c>
      <c r="E144" t="s">
        <v>33</v>
      </c>
      <c r="F144" t="str">
        <f t="shared" si="2"/>
        <v>Canada-NYSE</v>
      </c>
      <c r="G144" t="s">
        <v>29</v>
      </c>
      <c r="H144" t="s">
        <v>198</v>
      </c>
      <c r="I144" t="s">
        <v>25</v>
      </c>
      <c r="J144" t="s">
        <v>36</v>
      </c>
      <c r="K144" t="s">
        <v>37</v>
      </c>
      <c r="L144" t="s">
        <v>19</v>
      </c>
      <c r="M144" t="s">
        <v>55</v>
      </c>
    </row>
    <row r="145" spans="1:13" x14ac:dyDescent="0.35">
      <c r="A145" s="5">
        <v>45887</v>
      </c>
      <c r="B145" s="7">
        <f>EOMONTH(Table1[[#This Row],[Announcement_Date]],0)</f>
        <v>45900</v>
      </c>
      <c r="C145" t="s">
        <v>56</v>
      </c>
      <c r="D145" t="s">
        <v>12</v>
      </c>
      <c r="E145" t="s">
        <v>23</v>
      </c>
      <c r="F145" t="str">
        <f t="shared" si="2"/>
        <v>Canada-TSX</v>
      </c>
      <c r="G145" t="s">
        <v>14</v>
      </c>
      <c r="H145" t="s">
        <v>199</v>
      </c>
      <c r="I145" t="s">
        <v>31</v>
      </c>
      <c r="J145" t="s">
        <v>17</v>
      </c>
      <c r="K145" t="s">
        <v>52</v>
      </c>
      <c r="L145" t="s">
        <v>19</v>
      </c>
      <c r="M145" t="s">
        <v>42</v>
      </c>
    </row>
    <row r="146" spans="1:13" x14ac:dyDescent="0.35">
      <c r="A146" s="5">
        <v>45960</v>
      </c>
      <c r="B146" s="7">
        <f>EOMONTH(Table1[[#This Row],[Announcement_Date]],0)</f>
        <v>45961</v>
      </c>
      <c r="C146" t="s">
        <v>108</v>
      </c>
      <c r="D146" t="s">
        <v>22</v>
      </c>
      <c r="E146" t="s">
        <v>13</v>
      </c>
      <c r="F146" t="str">
        <f t="shared" si="2"/>
        <v>USA-NASDAQ</v>
      </c>
      <c r="G146" t="s">
        <v>47</v>
      </c>
      <c r="H146" t="s">
        <v>200</v>
      </c>
      <c r="I146" t="s">
        <v>16</v>
      </c>
      <c r="J146" t="s">
        <v>26</v>
      </c>
      <c r="K146" t="s">
        <v>45</v>
      </c>
      <c r="L146" t="s">
        <v>19</v>
      </c>
      <c r="M146" t="s">
        <v>20</v>
      </c>
    </row>
    <row r="147" spans="1:13" x14ac:dyDescent="0.35">
      <c r="A147" s="5">
        <v>45953</v>
      </c>
      <c r="B147" s="7">
        <f>EOMONTH(Table1[[#This Row],[Announcement_Date]],0)</f>
        <v>45961</v>
      </c>
      <c r="C147" t="s">
        <v>32</v>
      </c>
      <c r="D147" t="s">
        <v>12</v>
      </c>
      <c r="E147" t="s">
        <v>13</v>
      </c>
      <c r="F147" t="str">
        <f t="shared" si="2"/>
        <v>Canada-NASDAQ</v>
      </c>
      <c r="G147" t="s">
        <v>14</v>
      </c>
      <c r="H147" t="s">
        <v>201</v>
      </c>
      <c r="I147" t="s">
        <v>31</v>
      </c>
      <c r="J147" t="s">
        <v>36</v>
      </c>
      <c r="K147" t="s">
        <v>64</v>
      </c>
      <c r="L147" t="s">
        <v>19</v>
      </c>
      <c r="M147" t="s">
        <v>42</v>
      </c>
    </row>
    <row r="148" spans="1:13" x14ac:dyDescent="0.35">
      <c r="A148" s="5">
        <v>45942</v>
      </c>
      <c r="B148" s="7">
        <f>EOMONTH(Table1[[#This Row],[Announcement_Date]],0)</f>
        <v>45961</v>
      </c>
      <c r="C148" t="s">
        <v>46</v>
      </c>
      <c r="D148" t="s">
        <v>22</v>
      </c>
      <c r="E148" t="s">
        <v>23</v>
      </c>
      <c r="F148" t="str">
        <f t="shared" si="2"/>
        <v>USA-TSX</v>
      </c>
      <c r="G148" t="s">
        <v>29</v>
      </c>
      <c r="H148" t="s">
        <v>202</v>
      </c>
      <c r="I148" t="s">
        <v>31</v>
      </c>
      <c r="J148" t="s">
        <v>17</v>
      </c>
      <c r="K148" t="s">
        <v>40</v>
      </c>
      <c r="L148" t="s">
        <v>19</v>
      </c>
      <c r="M148" t="s">
        <v>20</v>
      </c>
    </row>
    <row r="149" spans="1:13" x14ac:dyDescent="0.35">
      <c r="A149" s="5">
        <v>45799</v>
      </c>
      <c r="B149" s="7">
        <f>EOMONTH(Table1[[#This Row],[Announcement_Date]],0)</f>
        <v>45808</v>
      </c>
      <c r="C149" t="s">
        <v>75</v>
      </c>
      <c r="D149" t="s">
        <v>22</v>
      </c>
      <c r="E149" t="s">
        <v>33</v>
      </c>
      <c r="F149" t="str">
        <f t="shared" si="2"/>
        <v>USA-NYSE</v>
      </c>
      <c r="G149" t="s">
        <v>43</v>
      </c>
      <c r="H149" t="s">
        <v>203</v>
      </c>
      <c r="I149" t="s">
        <v>25</v>
      </c>
      <c r="J149" t="s">
        <v>36</v>
      </c>
      <c r="K149" t="s">
        <v>64</v>
      </c>
      <c r="L149" t="s">
        <v>19</v>
      </c>
      <c r="M149" t="s">
        <v>55</v>
      </c>
    </row>
    <row r="150" spans="1:13" x14ac:dyDescent="0.35">
      <c r="A150" s="5">
        <v>45810</v>
      </c>
      <c r="B150" s="7">
        <f>EOMONTH(Table1[[#This Row],[Announcement_Date]],0)</f>
        <v>45838</v>
      </c>
      <c r="C150" t="s">
        <v>50</v>
      </c>
      <c r="D150" t="s">
        <v>22</v>
      </c>
      <c r="E150" t="s">
        <v>23</v>
      </c>
      <c r="F150" t="str">
        <f t="shared" si="2"/>
        <v>USA-TSX</v>
      </c>
      <c r="G150" t="s">
        <v>43</v>
      </c>
      <c r="H150" t="s">
        <v>204</v>
      </c>
      <c r="I150" t="s">
        <v>31</v>
      </c>
      <c r="J150" t="s">
        <v>26</v>
      </c>
      <c r="K150" t="s">
        <v>37</v>
      </c>
      <c r="L150" t="s">
        <v>19</v>
      </c>
      <c r="M150" t="s">
        <v>55</v>
      </c>
    </row>
    <row r="151" spans="1:13" x14ac:dyDescent="0.35">
      <c r="A151" s="5">
        <v>45800</v>
      </c>
      <c r="B151" s="7">
        <f>EOMONTH(Table1[[#This Row],[Announcement_Date]],0)</f>
        <v>45808</v>
      </c>
      <c r="C151" t="s">
        <v>108</v>
      </c>
      <c r="D151" t="s">
        <v>12</v>
      </c>
      <c r="E151" t="s">
        <v>33</v>
      </c>
      <c r="F151" t="str">
        <f t="shared" si="2"/>
        <v>Canada-NYSE</v>
      </c>
      <c r="G151" t="s">
        <v>34</v>
      </c>
      <c r="H151" t="s">
        <v>205</v>
      </c>
      <c r="I151" t="s">
        <v>31</v>
      </c>
      <c r="J151" t="s">
        <v>17</v>
      </c>
      <c r="K151" t="s">
        <v>37</v>
      </c>
      <c r="L151" t="s">
        <v>19</v>
      </c>
      <c r="M151" t="s">
        <v>20</v>
      </c>
    </row>
    <row r="152" spans="1:13" x14ac:dyDescent="0.35">
      <c r="A152" s="5">
        <v>45814</v>
      </c>
      <c r="B152" s="7">
        <f>EOMONTH(Table1[[#This Row],[Announcement_Date]],0)</f>
        <v>45838</v>
      </c>
      <c r="C152" t="s">
        <v>11</v>
      </c>
      <c r="D152" t="s">
        <v>12</v>
      </c>
      <c r="E152" t="s">
        <v>13</v>
      </c>
      <c r="F152" t="str">
        <f t="shared" si="2"/>
        <v>Canada-NASDAQ</v>
      </c>
      <c r="G152" t="s">
        <v>47</v>
      </c>
      <c r="H152" t="s">
        <v>206</v>
      </c>
      <c r="I152" t="s">
        <v>25</v>
      </c>
      <c r="J152" t="s">
        <v>17</v>
      </c>
      <c r="K152" t="s">
        <v>18</v>
      </c>
      <c r="L152" t="s">
        <v>19</v>
      </c>
      <c r="M152" t="s">
        <v>20</v>
      </c>
    </row>
    <row r="153" spans="1:13" x14ac:dyDescent="0.35">
      <c r="A153" s="5">
        <v>45758</v>
      </c>
      <c r="B153" s="7">
        <f>EOMONTH(Table1[[#This Row],[Announcement_Date]],0)</f>
        <v>45777</v>
      </c>
      <c r="C153" t="s">
        <v>46</v>
      </c>
      <c r="D153" t="s">
        <v>12</v>
      </c>
      <c r="E153" t="s">
        <v>33</v>
      </c>
      <c r="F153" t="str">
        <f t="shared" si="2"/>
        <v>Canada-NYSE</v>
      </c>
      <c r="G153" t="s">
        <v>29</v>
      </c>
      <c r="H153" t="s">
        <v>207</v>
      </c>
      <c r="I153" t="s">
        <v>25</v>
      </c>
      <c r="J153" t="s">
        <v>36</v>
      </c>
      <c r="K153" t="s">
        <v>64</v>
      </c>
      <c r="L153" t="s">
        <v>19</v>
      </c>
      <c r="M153" t="s">
        <v>20</v>
      </c>
    </row>
    <row r="154" spans="1:13" x14ac:dyDescent="0.35">
      <c r="A154" s="5">
        <v>45870</v>
      </c>
      <c r="B154" s="7">
        <f>EOMONTH(Table1[[#This Row],[Announcement_Date]],0)</f>
        <v>45900</v>
      </c>
      <c r="C154" t="s">
        <v>88</v>
      </c>
      <c r="D154" t="s">
        <v>22</v>
      </c>
      <c r="E154" t="s">
        <v>23</v>
      </c>
      <c r="F154" t="str">
        <f t="shared" si="2"/>
        <v>USA-TSX</v>
      </c>
      <c r="G154" t="s">
        <v>47</v>
      </c>
      <c r="H154" t="s">
        <v>208</v>
      </c>
      <c r="I154" t="s">
        <v>25</v>
      </c>
      <c r="J154" t="s">
        <v>26</v>
      </c>
      <c r="K154" t="s">
        <v>37</v>
      </c>
      <c r="L154" t="s">
        <v>19</v>
      </c>
      <c r="M154" t="s">
        <v>42</v>
      </c>
    </row>
    <row r="155" spans="1:13" x14ac:dyDescent="0.35">
      <c r="A155" s="5">
        <v>45952</v>
      </c>
      <c r="B155" s="7">
        <f>EOMONTH(Table1[[#This Row],[Announcement_Date]],0)</f>
        <v>45961</v>
      </c>
      <c r="C155" t="s">
        <v>38</v>
      </c>
      <c r="D155" t="s">
        <v>12</v>
      </c>
      <c r="E155" t="s">
        <v>13</v>
      </c>
      <c r="F155" t="str">
        <f t="shared" si="2"/>
        <v>Canada-NASDAQ</v>
      </c>
      <c r="G155" t="s">
        <v>14</v>
      </c>
      <c r="H155" t="s">
        <v>209</v>
      </c>
      <c r="I155" t="s">
        <v>31</v>
      </c>
      <c r="J155" t="s">
        <v>26</v>
      </c>
      <c r="K155" t="s">
        <v>37</v>
      </c>
      <c r="L155" t="s">
        <v>41</v>
      </c>
      <c r="M155" t="s">
        <v>55</v>
      </c>
    </row>
    <row r="156" spans="1:13" x14ac:dyDescent="0.35">
      <c r="A156" s="5">
        <v>46059</v>
      </c>
      <c r="B156" s="7">
        <f>EOMONTH(Table1[[#This Row],[Announcement_Date]],0)</f>
        <v>46081</v>
      </c>
      <c r="C156" t="s">
        <v>56</v>
      </c>
      <c r="D156" t="s">
        <v>22</v>
      </c>
      <c r="E156" t="s">
        <v>23</v>
      </c>
      <c r="F156" t="str">
        <f t="shared" si="2"/>
        <v>USA-TSX</v>
      </c>
      <c r="G156" t="s">
        <v>29</v>
      </c>
      <c r="H156" t="s">
        <v>210</v>
      </c>
      <c r="I156" t="s">
        <v>16</v>
      </c>
      <c r="J156" t="s">
        <v>17</v>
      </c>
      <c r="K156" t="s">
        <v>64</v>
      </c>
      <c r="L156" t="s">
        <v>27</v>
      </c>
      <c r="M156" t="s">
        <v>20</v>
      </c>
    </row>
    <row r="157" spans="1:13" x14ac:dyDescent="0.35">
      <c r="A157" s="5">
        <v>45848</v>
      </c>
      <c r="B157" s="7">
        <f>EOMONTH(Table1[[#This Row],[Announcement_Date]],0)</f>
        <v>45869</v>
      </c>
      <c r="C157" t="s">
        <v>11</v>
      </c>
      <c r="D157" t="s">
        <v>22</v>
      </c>
      <c r="E157" t="s">
        <v>13</v>
      </c>
      <c r="F157" t="str">
        <f t="shared" si="2"/>
        <v>USA-NASDAQ</v>
      </c>
      <c r="G157" t="s">
        <v>34</v>
      </c>
      <c r="H157" t="s">
        <v>211</v>
      </c>
      <c r="I157" t="s">
        <v>31</v>
      </c>
      <c r="J157" t="s">
        <v>36</v>
      </c>
      <c r="K157" t="s">
        <v>45</v>
      </c>
      <c r="L157" t="s">
        <v>19</v>
      </c>
      <c r="M157" t="s">
        <v>42</v>
      </c>
    </row>
    <row r="158" spans="1:13" x14ac:dyDescent="0.35">
      <c r="A158" s="5">
        <v>46035</v>
      </c>
      <c r="B158" s="7">
        <f>EOMONTH(Table1[[#This Row],[Announcement_Date]],0)</f>
        <v>46053</v>
      </c>
      <c r="C158" t="s">
        <v>28</v>
      </c>
      <c r="D158" t="s">
        <v>22</v>
      </c>
      <c r="E158" t="s">
        <v>13</v>
      </c>
      <c r="F158" t="str">
        <f t="shared" si="2"/>
        <v>USA-NASDAQ</v>
      </c>
      <c r="G158" t="s">
        <v>29</v>
      </c>
      <c r="H158" t="s">
        <v>212</v>
      </c>
      <c r="I158" t="s">
        <v>25</v>
      </c>
      <c r="J158" t="s">
        <v>17</v>
      </c>
      <c r="K158" t="s">
        <v>64</v>
      </c>
      <c r="L158" t="s">
        <v>41</v>
      </c>
      <c r="M158" t="s">
        <v>20</v>
      </c>
    </row>
    <row r="159" spans="1:13" x14ac:dyDescent="0.35">
      <c r="A159" s="5">
        <v>45794</v>
      </c>
      <c r="B159" s="7">
        <f>EOMONTH(Table1[[#This Row],[Announcement_Date]],0)</f>
        <v>45808</v>
      </c>
      <c r="C159" t="s">
        <v>79</v>
      </c>
      <c r="D159" t="s">
        <v>12</v>
      </c>
      <c r="E159" t="s">
        <v>13</v>
      </c>
      <c r="F159" t="str">
        <f t="shared" si="2"/>
        <v>Canada-NASDAQ</v>
      </c>
      <c r="G159" t="s">
        <v>47</v>
      </c>
      <c r="H159" t="s">
        <v>213</v>
      </c>
      <c r="I159" t="s">
        <v>16</v>
      </c>
      <c r="J159" t="s">
        <v>17</v>
      </c>
      <c r="K159" t="s">
        <v>52</v>
      </c>
      <c r="L159" t="s">
        <v>19</v>
      </c>
      <c r="M159" t="s">
        <v>55</v>
      </c>
    </row>
    <row r="160" spans="1:13" x14ac:dyDescent="0.35">
      <c r="A160" s="5">
        <v>45960</v>
      </c>
      <c r="B160" s="7">
        <f>EOMONTH(Table1[[#This Row],[Announcement_Date]],0)</f>
        <v>45961</v>
      </c>
      <c r="C160" t="s">
        <v>32</v>
      </c>
      <c r="D160" t="s">
        <v>12</v>
      </c>
      <c r="E160" t="s">
        <v>23</v>
      </c>
      <c r="F160" t="str">
        <f t="shared" si="2"/>
        <v>Canada-TSX</v>
      </c>
      <c r="G160" t="s">
        <v>47</v>
      </c>
      <c r="H160" t="s">
        <v>214</v>
      </c>
      <c r="I160" t="s">
        <v>16</v>
      </c>
      <c r="J160" t="s">
        <v>36</v>
      </c>
      <c r="K160" t="s">
        <v>37</v>
      </c>
      <c r="L160" t="s">
        <v>27</v>
      </c>
      <c r="M160" t="s">
        <v>42</v>
      </c>
    </row>
    <row r="161" spans="1:13" x14ac:dyDescent="0.35">
      <c r="A161" s="5">
        <v>45751</v>
      </c>
      <c r="B161" s="7">
        <f>EOMONTH(Table1[[#This Row],[Announcement_Date]],0)</f>
        <v>45777</v>
      </c>
      <c r="C161" t="s">
        <v>38</v>
      </c>
      <c r="D161" t="s">
        <v>12</v>
      </c>
      <c r="E161" t="s">
        <v>33</v>
      </c>
      <c r="F161" t="str">
        <f t="shared" si="2"/>
        <v>Canada-NYSE</v>
      </c>
      <c r="G161" t="s">
        <v>29</v>
      </c>
      <c r="H161" t="s">
        <v>215</v>
      </c>
      <c r="I161" t="s">
        <v>16</v>
      </c>
      <c r="J161" t="s">
        <v>26</v>
      </c>
      <c r="K161" t="s">
        <v>18</v>
      </c>
      <c r="L161" t="s">
        <v>41</v>
      </c>
      <c r="M161" t="s">
        <v>42</v>
      </c>
    </row>
    <row r="162" spans="1:13" x14ac:dyDescent="0.35">
      <c r="A162" s="5">
        <v>45772</v>
      </c>
      <c r="B162" s="7">
        <f>EOMONTH(Table1[[#This Row],[Announcement_Date]],0)</f>
        <v>45777</v>
      </c>
      <c r="C162" t="s">
        <v>79</v>
      </c>
      <c r="D162" t="s">
        <v>12</v>
      </c>
      <c r="E162" t="s">
        <v>13</v>
      </c>
      <c r="F162" t="str">
        <f t="shared" si="2"/>
        <v>Canada-NASDAQ</v>
      </c>
      <c r="G162" t="s">
        <v>34</v>
      </c>
      <c r="H162" t="s">
        <v>216</v>
      </c>
      <c r="I162" t="s">
        <v>16</v>
      </c>
      <c r="J162" t="s">
        <v>17</v>
      </c>
      <c r="K162" t="s">
        <v>40</v>
      </c>
      <c r="L162" t="s">
        <v>27</v>
      </c>
      <c r="M162" t="s">
        <v>42</v>
      </c>
    </row>
    <row r="163" spans="1:13" x14ac:dyDescent="0.35">
      <c r="A163" s="5">
        <v>46041</v>
      </c>
      <c r="B163" s="7">
        <f>EOMONTH(Table1[[#This Row],[Announcement_Date]],0)</f>
        <v>46053</v>
      </c>
      <c r="C163" t="s">
        <v>108</v>
      </c>
      <c r="D163" t="s">
        <v>12</v>
      </c>
      <c r="E163" t="s">
        <v>23</v>
      </c>
      <c r="F163" t="str">
        <f t="shared" si="2"/>
        <v>Canada-TSX</v>
      </c>
      <c r="G163" t="s">
        <v>47</v>
      </c>
      <c r="H163" t="s">
        <v>217</v>
      </c>
      <c r="I163" t="s">
        <v>31</v>
      </c>
      <c r="J163" t="s">
        <v>36</v>
      </c>
      <c r="K163" t="s">
        <v>37</v>
      </c>
      <c r="L163" t="s">
        <v>41</v>
      </c>
      <c r="M163" t="s">
        <v>42</v>
      </c>
    </row>
    <row r="164" spans="1:13" x14ac:dyDescent="0.35">
      <c r="A164" s="5">
        <v>45994</v>
      </c>
      <c r="B164" s="7">
        <f>EOMONTH(Table1[[#This Row],[Announcement_Date]],0)</f>
        <v>46022</v>
      </c>
      <c r="C164" t="s">
        <v>28</v>
      </c>
      <c r="D164" t="s">
        <v>12</v>
      </c>
      <c r="E164" t="s">
        <v>33</v>
      </c>
      <c r="F164" t="str">
        <f t="shared" si="2"/>
        <v>Canada-NYSE</v>
      </c>
      <c r="G164" t="s">
        <v>43</v>
      </c>
      <c r="H164" t="s">
        <v>218</v>
      </c>
      <c r="I164" t="s">
        <v>25</v>
      </c>
      <c r="J164" t="s">
        <v>36</v>
      </c>
      <c r="K164" t="s">
        <v>45</v>
      </c>
      <c r="L164" t="s">
        <v>27</v>
      </c>
      <c r="M164" t="s">
        <v>42</v>
      </c>
    </row>
    <row r="165" spans="1:13" x14ac:dyDescent="0.35">
      <c r="A165" s="5">
        <v>45769</v>
      </c>
      <c r="B165" s="7">
        <f>EOMONTH(Table1[[#This Row],[Announcement_Date]],0)</f>
        <v>45777</v>
      </c>
      <c r="C165" t="s">
        <v>32</v>
      </c>
      <c r="D165" t="s">
        <v>12</v>
      </c>
      <c r="E165" t="s">
        <v>13</v>
      </c>
      <c r="F165" t="str">
        <f t="shared" si="2"/>
        <v>Canada-NASDAQ</v>
      </c>
      <c r="G165" t="s">
        <v>34</v>
      </c>
      <c r="H165" t="s">
        <v>219</v>
      </c>
      <c r="I165" t="s">
        <v>31</v>
      </c>
      <c r="J165" t="s">
        <v>36</v>
      </c>
      <c r="K165" t="s">
        <v>45</v>
      </c>
      <c r="L165" t="s">
        <v>19</v>
      </c>
      <c r="M165" t="s">
        <v>55</v>
      </c>
    </row>
    <row r="166" spans="1:13" x14ac:dyDescent="0.35">
      <c r="A166" s="5">
        <v>45767</v>
      </c>
      <c r="B166" s="7">
        <f>EOMONTH(Table1[[#This Row],[Announcement_Date]],0)</f>
        <v>45777</v>
      </c>
      <c r="C166" t="s">
        <v>50</v>
      </c>
      <c r="D166" t="s">
        <v>22</v>
      </c>
      <c r="E166" t="s">
        <v>23</v>
      </c>
      <c r="F166" t="str">
        <f t="shared" si="2"/>
        <v>USA-TSX</v>
      </c>
      <c r="G166" t="s">
        <v>57</v>
      </c>
      <c r="H166" t="s">
        <v>220</v>
      </c>
      <c r="I166" t="s">
        <v>25</v>
      </c>
      <c r="J166" t="s">
        <v>36</v>
      </c>
      <c r="K166" t="s">
        <v>18</v>
      </c>
      <c r="L166" t="s">
        <v>19</v>
      </c>
      <c r="M166" t="s">
        <v>55</v>
      </c>
    </row>
    <row r="167" spans="1:13" x14ac:dyDescent="0.35">
      <c r="A167" s="5">
        <v>45841</v>
      </c>
      <c r="B167" s="7">
        <f>EOMONTH(Table1[[#This Row],[Announcement_Date]],0)</f>
        <v>45869</v>
      </c>
      <c r="C167" t="s">
        <v>46</v>
      </c>
      <c r="D167" t="s">
        <v>12</v>
      </c>
      <c r="E167" t="s">
        <v>13</v>
      </c>
      <c r="F167" t="str">
        <f t="shared" si="2"/>
        <v>Canada-NASDAQ</v>
      </c>
      <c r="G167" t="s">
        <v>34</v>
      </c>
      <c r="H167" t="s">
        <v>221</v>
      </c>
      <c r="I167" t="s">
        <v>16</v>
      </c>
      <c r="J167" t="s">
        <v>36</v>
      </c>
      <c r="K167" t="s">
        <v>37</v>
      </c>
      <c r="L167" t="s">
        <v>27</v>
      </c>
      <c r="M167" t="s">
        <v>55</v>
      </c>
    </row>
    <row r="168" spans="1:13" x14ac:dyDescent="0.35">
      <c r="A168" s="5">
        <v>45849</v>
      </c>
      <c r="B168" s="7">
        <f>EOMONTH(Table1[[#This Row],[Announcement_Date]],0)</f>
        <v>45869</v>
      </c>
      <c r="C168" t="s">
        <v>56</v>
      </c>
      <c r="D168" t="s">
        <v>22</v>
      </c>
      <c r="E168" t="s">
        <v>33</v>
      </c>
      <c r="F168" t="str">
        <f t="shared" si="2"/>
        <v>USA-NYSE</v>
      </c>
      <c r="G168" t="s">
        <v>14</v>
      </c>
      <c r="H168" t="s">
        <v>222</v>
      </c>
      <c r="I168" t="s">
        <v>16</v>
      </c>
      <c r="J168" t="s">
        <v>26</v>
      </c>
      <c r="K168" t="s">
        <v>49</v>
      </c>
      <c r="L168" t="s">
        <v>41</v>
      </c>
      <c r="M168" t="s">
        <v>55</v>
      </c>
    </row>
    <row r="169" spans="1:13" x14ac:dyDescent="0.35">
      <c r="A169" s="5">
        <v>45976</v>
      </c>
      <c r="B169" s="7">
        <f>EOMONTH(Table1[[#This Row],[Announcement_Date]],0)</f>
        <v>45991</v>
      </c>
      <c r="C169" t="s">
        <v>53</v>
      </c>
      <c r="D169" t="s">
        <v>12</v>
      </c>
      <c r="E169" t="s">
        <v>23</v>
      </c>
      <c r="F169" t="str">
        <f t="shared" si="2"/>
        <v>Canada-TSX</v>
      </c>
      <c r="G169" t="s">
        <v>34</v>
      </c>
      <c r="H169" t="s">
        <v>223</v>
      </c>
      <c r="I169" t="s">
        <v>16</v>
      </c>
      <c r="J169" t="s">
        <v>17</v>
      </c>
      <c r="K169" t="s">
        <v>52</v>
      </c>
      <c r="L169" t="s">
        <v>19</v>
      </c>
      <c r="M169" t="s">
        <v>55</v>
      </c>
    </row>
    <row r="170" spans="1:13" x14ac:dyDescent="0.35">
      <c r="A170" s="5">
        <v>46069</v>
      </c>
      <c r="B170" s="7">
        <f>EOMONTH(Table1[[#This Row],[Announcement_Date]],0)</f>
        <v>46081</v>
      </c>
      <c r="C170" t="s">
        <v>62</v>
      </c>
      <c r="D170" t="s">
        <v>22</v>
      </c>
      <c r="E170" t="s">
        <v>33</v>
      </c>
      <c r="F170" t="str">
        <f t="shared" si="2"/>
        <v>USA-NYSE</v>
      </c>
      <c r="G170" t="s">
        <v>57</v>
      </c>
      <c r="H170" t="s">
        <v>224</v>
      </c>
      <c r="I170" t="s">
        <v>16</v>
      </c>
      <c r="J170" t="s">
        <v>26</v>
      </c>
      <c r="K170" t="s">
        <v>52</v>
      </c>
      <c r="L170" t="s">
        <v>27</v>
      </c>
      <c r="M170" t="s">
        <v>20</v>
      </c>
    </row>
    <row r="171" spans="1:13" x14ac:dyDescent="0.35">
      <c r="A171" s="5">
        <v>45754</v>
      </c>
      <c r="B171" s="7">
        <f>EOMONTH(Table1[[#This Row],[Announcement_Date]],0)</f>
        <v>45777</v>
      </c>
      <c r="C171" t="s">
        <v>62</v>
      </c>
      <c r="D171" t="s">
        <v>22</v>
      </c>
      <c r="E171" t="s">
        <v>13</v>
      </c>
      <c r="F171" t="str">
        <f t="shared" si="2"/>
        <v>USA-NASDAQ</v>
      </c>
      <c r="G171" t="s">
        <v>43</v>
      </c>
      <c r="H171" t="s">
        <v>225</v>
      </c>
      <c r="I171" t="s">
        <v>25</v>
      </c>
      <c r="J171" t="s">
        <v>26</v>
      </c>
      <c r="K171" t="s">
        <v>18</v>
      </c>
      <c r="L171" t="s">
        <v>41</v>
      </c>
      <c r="M171" t="s">
        <v>42</v>
      </c>
    </row>
    <row r="172" spans="1:13" x14ac:dyDescent="0.35">
      <c r="A172" s="5">
        <v>45843</v>
      </c>
      <c r="B172" s="7">
        <f>EOMONTH(Table1[[#This Row],[Announcement_Date]],0)</f>
        <v>45869</v>
      </c>
      <c r="C172" t="s">
        <v>53</v>
      </c>
      <c r="D172" t="s">
        <v>12</v>
      </c>
      <c r="E172" t="s">
        <v>33</v>
      </c>
      <c r="F172" t="str">
        <f t="shared" si="2"/>
        <v>Canada-NYSE</v>
      </c>
      <c r="G172" t="s">
        <v>29</v>
      </c>
      <c r="H172" t="s">
        <v>226</v>
      </c>
      <c r="I172" t="s">
        <v>25</v>
      </c>
      <c r="J172" t="s">
        <v>36</v>
      </c>
      <c r="K172" t="s">
        <v>37</v>
      </c>
      <c r="L172" t="s">
        <v>41</v>
      </c>
      <c r="M172" t="s">
        <v>42</v>
      </c>
    </row>
    <row r="173" spans="1:13" x14ac:dyDescent="0.35">
      <c r="A173" s="5">
        <v>45931</v>
      </c>
      <c r="B173" s="7">
        <f>EOMONTH(Table1[[#This Row],[Announcement_Date]],0)</f>
        <v>45961</v>
      </c>
      <c r="C173" t="s">
        <v>21</v>
      </c>
      <c r="D173" t="s">
        <v>22</v>
      </c>
      <c r="E173" t="s">
        <v>23</v>
      </c>
      <c r="F173" t="str">
        <f t="shared" si="2"/>
        <v>USA-TSX</v>
      </c>
      <c r="G173" t="s">
        <v>43</v>
      </c>
      <c r="H173" t="s">
        <v>227</v>
      </c>
      <c r="I173" t="s">
        <v>16</v>
      </c>
      <c r="J173" t="s">
        <v>36</v>
      </c>
      <c r="K173" t="s">
        <v>49</v>
      </c>
      <c r="L173" t="s">
        <v>41</v>
      </c>
      <c r="M173" t="s">
        <v>42</v>
      </c>
    </row>
    <row r="174" spans="1:13" x14ac:dyDescent="0.35">
      <c r="A174" s="5">
        <v>45833</v>
      </c>
      <c r="B174" s="7">
        <f>EOMONTH(Table1[[#This Row],[Announcement_Date]],0)</f>
        <v>45838</v>
      </c>
      <c r="C174" t="s">
        <v>75</v>
      </c>
      <c r="D174" t="s">
        <v>22</v>
      </c>
      <c r="E174" t="s">
        <v>23</v>
      </c>
      <c r="F174" t="str">
        <f t="shared" si="2"/>
        <v>USA-TSX</v>
      </c>
      <c r="G174" t="s">
        <v>43</v>
      </c>
      <c r="H174" t="s">
        <v>228</v>
      </c>
      <c r="I174" t="s">
        <v>16</v>
      </c>
      <c r="J174" t="s">
        <v>17</v>
      </c>
      <c r="K174" t="s">
        <v>64</v>
      </c>
      <c r="L174" t="s">
        <v>27</v>
      </c>
      <c r="M174" t="s">
        <v>55</v>
      </c>
    </row>
    <row r="175" spans="1:13" x14ac:dyDescent="0.35">
      <c r="A175" s="5">
        <v>46037</v>
      </c>
      <c r="B175" s="7">
        <f>EOMONTH(Table1[[#This Row],[Announcement_Date]],0)</f>
        <v>46053</v>
      </c>
      <c r="C175" t="s">
        <v>69</v>
      </c>
      <c r="D175" t="s">
        <v>22</v>
      </c>
      <c r="E175" t="s">
        <v>23</v>
      </c>
      <c r="F175" t="str">
        <f t="shared" si="2"/>
        <v>USA-TSX</v>
      </c>
      <c r="G175" t="s">
        <v>29</v>
      </c>
      <c r="H175" t="s">
        <v>229</v>
      </c>
      <c r="I175" t="s">
        <v>25</v>
      </c>
      <c r="J175" t="s">
        <v>26</v>
      </c>
      <c r="K175" t="s">
        <v>49</v>
      </c>
      <c r="L175" t="s">
        <v>41</v>
      </c>
      <c r="M175" t="s">
        <v>20</v>
      </c>
    </row>
    <row r="176" spans="1:13" x14ac:dyDescent="0.35">
      <c r="A176" s="5">
        <v>45870</v>
      </c>
      <c r="B176" s="7">
        <f>EOMONTH(Table1[[#This Row],[Announcement_Date]],0)</f>
        <v>45900</v>
      </c>
      <c r="C176" t="s">
        <v>88</v>
      </c>
      <c r="D176" t="s">
        <v>12</v>
      </c>
      <c r="E176" t="s">
        <v>23</v>
      </c>
      <c r="F176" t="str">
        <f t="shared" si="2"/>
        <v>Canada-TSX</v>
      </c>
      <c r="G176" t="s">
        <v>34</v>
      </c>
      <c r="H176" t="s">
        <v>230</v>
      </c>
      <c r="I176" t="s">
        <v>16</v>
      </c>
      <c r="J176" t="s">
        <v>36</v>
      </c>
      <c r="K176" t="s">
        <v>18</v>
      </c>
      <c r="L176" t="s">
        <v>19</v>
      </c>
      <c r="M176" t="s">
        <v>42</v>
      </c>
    </row>
    <row r="177" spans="1:13" x14ac:dyDescent="0.35">
      <c r="A177" s="5">
        <v>46000</v>
      </c>
      <c r="B177" s="7">
        <f>EOMONTH(Table1[[#This Row],[Announcement_Date]],0)</f>
        <v>46022</v>
      </c>
      <c r="C177" t="s">
        <v>62</v>
      </c>
      <c r="D177" t="s">
        <v>12</v>
      </c>
      <c r="E177" t="s">
        <v>23</v>
      </c>
      <c r="F177" t="str">
        <f t="shared" si="2"/>
        <v>Canada-TSX</v>
      </c>
      <c r="G177" t="s">
        <v>57</v>
      </c>
      <c r="H177" t="s">
        <v>231</v>
      </c>
      <c r="I177" t="s">
        <v>25</v>
      </c>
      <c r="J177" t="s">
        <v>36</v>
      </c>
      <c r="K177" t="s">
        <v>18</v>
      </c>
      <c r="L177" t="s">
        <v>41</v>
      </c>
      <c r="M177" t="s">
        <v>42</v>
      </c>
    </row>
    <row r="178" spans="1:13" x14ac:dyDescent="0.35">
      <c r="A178" s="5">
        <v>45788</v>
      </c>
      <c r="B178" s="7">
        <f>EOMONTH(Table1[[#This Row],[Announcement_Date]],0)</f>
        <v>45808</v>
      </c>
      <c r="C178" t="s">
        <v>79</v>
      </c>
      <c r="D178" t="s">
        <v>12</v>
      </c>
      <c r="E178" t="s">
        <v>33</v>
      </c>
      <c r="F178" t="str">
        <f t="shared" si="2"/>
        <v>Canada-NYSE</v>
      </c>
      <c r="G178" t="s">
        <v>34</v>
      </c>
      <c r="H178" t="s">
        <v>232</v>
      </c>
      <c r="I178" t="s">
        <v>31</v>
      </c>
      <c r="J178" t="s">
        <v>26</v>
      </c>
      <c r="K178" t="s">
        <v>37</v>
      </c>
      <c r="L178" t="s">
        <v>27</v>
      </c>
      <c r="M178" t="s">
        <v>20</v>
      </c>
    </row>
    <row r="179" spans="1:13" x14ac:dyDescent="0.35">
      <c r="A179" s="5">
        <v>46038</v>
      </c>
      <c r="B179" s="7">
        <f>EOMONTH(Table1[[#This Row],[Announcement_Date]],0)</f>
        <v>46053</v>
      </c>
      <c r="C179" t="s">
        <v>79</v>
      </c>
      <c r="D179" t="s">
        <v>22</v>
      </c>
      <c r="E179" t="s">
        <v>33</v>
      </c>
      <c r="F179" t="str">
        <f t="shared" si="2"/>
        <v>USA-NYSE</v>
      </c>
      <c r="G179" t="s">
        <v>29</v>
      </c>
      <c r="H179" t="s">
        <v>233</v>
      </c>
      <c r="I179" t="s">
        <v>16</v>
      </c>
      <c r="J179" t="s">
        <v>36</v>
      </c>
      <c r="K179" t="s">
        <v>40</v>
      </c>
      <c r="L179" t="s">
        <v>27</v>
      </c>
      <c r="M179" t="s">
        <v>42</v>
      </c>
    </row>
    <row r="180" spans="1:13" x14ac:dyDescent="0.35">
      <c r="A180" s="5">
        <v>45941</v>
      </c>
      <c r="B180" s="7">
        <f>EOMONTH(Table1[[#This Row],[Announcement_Date]],0)</f>
        <v>45961</v>
      </c>
      <c r="C180" t="s">
        <v>38</v>
      </c>
      <c r="D180" t="s">
        <v>22</v>
      </c>
      <c r="E180" t="s">
        <v>33</v>
      </c>
      <c r="F180" t="str">
        <f t="shared" si="2"/>
        <v>USA-NYSE</v>
      </c>
      <c r="G180" t="s">
        <v>29</v>
      </c>
      <c r="H180" t="s">
        <v>234</v>
      </c>
      <c r="I180" t="s">
        <v>25</v>
      </c>
      <c r="J180" t="s">
        <v>26</v>
      </c>
      <c r="K180" t="s">
        <v>49</v>
      </c>
      <c r="L180" t="s">
        <v>41</v>
      </c>
      <c r="M180" t="s">
        <v>42</v>
      </c>
    </row>
    <row r="181" spans="1:13" x14ac:dyDescent="0.35">
      <c r="A181" s="5">
        <v>45939</v>
      </c>
      <c r="B181" s="7">
        <f>EOMONTH(Table1[[#This Row],[Announcement_Date]],0)</f>
        <v>45961</v>
      </c>
      <c r="C181" t="s">
        <v>21</v>
      </c>
      <c r="D181" t="s">
        <v>22</v>
      </c>
      <c r="E181" t="s">
        <v>13</v>
      </c>
      <c r="F181" t="str">
        <f t="shared" si="2"/>
        <v>USA-NASDAQ</v>
      </c>
      <c r="G181" t="s">
        <v>34</v>
      </c>
      <c r="H181" t="s">
        <v>235</v>
      </c>
      <c r="I181" t="s">
        <v>16</v>
      </c>
      <c r="J181" t="s">
        <v>26</v>
      </c>
      <c r="K181" t="s">
        <v>37</v>
      </c>
      <c r="L181" t="s">
        <v>27</v>
      </c>
      <c r="M181" t="s">
        <v>42</v>
      </c>
    </row>
    <row r="182" spans="1:13" x14ac:dyDescent="0.35">
      <c r="A182" s="5">
        <v>46095</v>
      </c>
      <c r="B182" s="7">
        <f>EOMONTH(Table1[[#This Row],[Announcement_Date]],0)</f>
        <v>46112</v>
      </c>
      <c r="C182" t="s">
        <v>28</v>
      </c>
      <c r="D182" t="s">
        <v>22</v>
      </c>
      <c r="E182" t="s">
        <v>13</v>
      </c>
      <c r="F182" t="str">
        <f t="shared" si="2"/>
        <v>USA-NASDAQ</v>
      </c>
      <c r="G182" t="s">
        <v>57</v>
      </c>
      <c r="H182" t="s">
        <v>236</v>
      </c>
      <c r="I182" t="s">
        <v>16</v>
      </c>
      <c r="J182" t="s">
        <v>26</v>
      </c>
      <c r="K182" t="s">
        <v>64</v>
      </c>
      <c r="L182" t="s">
        <v>19</v>
      </c>
      <c r="M182" t="s">
        <v>42</v>
      </c>
    </row>
    <row r="183" spans="1:13" x14ac:dyDescent="0.35">
      <c r="A183" s="5">
        <v>45794</v>
      </c>
      <c r="B183" s="7">
        <f>EOMONTH(Table1[[#This Row],[Announcement_Date]],0)</f>
        <v>45808</v>
      </c>
      <c r="C183" t="s">
        <v>69</v>
      </c>
      <c r="D183" t="s">
        <v>12</v>
      </c>
      <c r="E183" t="s">
        <v>33</v>
      </c>
      <c r="F183" t="str">
        <f t="shared" si="2"/>
        <v>Canada-NYSE</v>
      </c>
      <c r="G183" t="s">
        <v>14</v>
      </c>
      <c r="H183" t="s">
        <v>237</v>
      </c>
      <c r="I183" t="s">
        <v>31</v>
      </c>
      <c r="J183" t="s">
        <v>36</v>
      </c>
      <c r="K183" t="s">
        <v>45</v>
      </c>
      <c r="L183" t="s">
        <v>41</v>
      </c>
      <c r="M183" t="s">
        <v>42</v>
      </c>
    </row>
    <row r="184" spans="1:13" x14ac:dyDescent="0.35">
      <c r="A184" s="5">
        <v>45848</v>
      </c>
      <c r="B184" s="7">
        <f>EOMONTH(Table1[[#This Row],[Announcement_Date]],0)</f>
        <v>45869</v>
      </c>
      <c r="C184" t="s">
        <v>46</v>
      </c>
      <c r="D184" t="s">
        <v>12</v>
      </c>
      <c r="E184" t="s">
        <v>23</v>
      </c>
      <c r="F184" t="str">
        <f t="shared" si="2"/>
        <v>Canada-TSX</v>
      </c>
      <c r="G184" t="s">
        <v>34</v>
      </c>
      <c r="H184" t="s">
        <v>238</v>
      </c>
      <c r="I184" t="s">
        <v>16</v>
      </c>
      <c r="J184" t="s">
        <v>36</v>
      </c>
      <c r="K184" t="s">
        <v>52</v>
      </c>
      <c r="L184" t="s">
        <v>19</v>
      </c>
      <c r="M184" t="s">
        <v>20</v>
      </c>
    </row>
    <row r="185" spans="1:13" x14ac:dyDescent="0.35">
      <c r="A185" s="5">
        <v>45832</v>
      </c>
      <c r="B185" s="7">
        <f>EOMONTH(Table1[[#This Row],[Announcement_Date]],0)</f>
        <v>45838</v>
      </c>
      <c r="C185" t="s">
        <v>28</v>
      </c>
      <c r="D185" t="s">
        <v>12</v>
      </c>
      <c r="E185" t="s">
        <v>23</v>
      </c>
      <c r="F185" t="str">
        <f t="shared" si="2"/>
        <v>Canada-TSX</v>
      </c>
      <c r="G185" t="s">
        <v>43</v>
      </c>
      <c r="H185" t="s">
        <v>239</v>
      </c>
      <c r="I185" t="s">
        <v>31</v>
      </c>
      <c r="J185" t="s">
        <v>17</v>
      </c>
      <c r="K185" t="s">
        <v>37</v>
      </c>
      <c r="L185" t="s">
        <v>27</v>
      </c>
      <c r="M185" t="s">
        <v>55</v>
      </c>
    </row>
    <row r="186" spans="1:13" x14ac:dyDescent="0.35">
      <c r="A186" s="5">
        <v>46064</v>
      </c>
      <c r="B186" s="7">
        <f>EOMONTH(Table1[[#This Row],[Announcement_Date]],0)</f>
        <v>46081</v>
      </c>
      <c r="C186" t="s">
        <v>46</v>
      </c>
      <c r="D186" t="s">
        <v>12</v>
      </c>
      <c r="E186" t="s">
        <v>33</v>
      </c>
      <c r="F186" t="str">
        <f t="shared" si="2"/>
        <v>Canada-NYSE</v>
      </c>
      <c r="G186" t="s">
        <v>29</v>
      </c>
      <c r="H186" t="s">
        <v>240</v>
      </c>
      <c r="I186" t="s">
        <v>16</v>
      </c>
      <c r="J186" t="s">
        <v>36</v>
      </c>
      <c r="K186" t="s">
        <v>64</v>
      </c>
      <c r="L186" t="s">
        <v>41</v>
      </c>
      <c r="M186" t="s">
        <v>42</v>
      </c>
    </row>
    <row r="187" spans="1:13" x14ac:dyDescent="0.35">
      <c r="A187" s="5">
        <v>45953</v>
      </c>
      <c r="B187" s="7">
        <f>EOMONTH(Table1[[#This Row],[Announcement_Date]],0)</f>
        <v>45961</v>
      </c>
      <c r="C187" t="s">
        <v>56</v>
      </c>
      <c r="D187" t="s">
        <v>12</v>
      </c>
      <c r="E187" t="s">
        <v>33</v>
      </c>
      <c r="F187" t="str">
        <f t="shared" si="2"/>
        <v>Canada-NYSE</v>
      </c>
      <c r="G187" t="s">
        <v>14</v>
      </c>
      <c r="H187" t="s">
        <v>241</v>
      </c>
      <c r="I187" t="s">
        <v>25</v>
      </c>
      <c r="J187" t="s">
        <v>36</v>
      </c>
      <c r="K187" t="s">
        <v>18</v>
      </c>
      <c r="L187" t="s">
        <v>27</v>
      </c>
      <c r="M187" t="s">
        <v>42</v>
      </c>
    </row>
    <row r="188" spans="1:13" x14ac:dyDescent="0.35">
      <c r="A188" s="5">
        <v>45983</v>
      </c>
      <c r="B188" s="7">
        <f>EOMONTH(Table1[[#This Row],[Announcement_Date]],0)</f>
        <v>45991</v>
      </c>
      <c r="C188" t="s">
        <v>108</v>
      </c>
      <c r="D188" t="s">
        <v>12</v>
      </c>
      <c r="E188" t="s">
        <v>33</v>
      </c>
      <c r="F188" t="str">
        <f t="shared" si="2"/>
        <v>Canada-NYSE</v>
      </c>
      <c r="G188" t="s">
        <v>29</v>
      </c>
      <c r="H188" t="s">
        <v>242</v>
      </c>
      <c r="I188" t="s">
        <v>16</v>
      </c>
      <c r="J188" t="s">
        <v>17</v>
      </c>
      <c r="K188" t="s">
        <v>52</v>
      </c>
      <c r="L188" t="s">
        <v>27</v>
      </c>
      <c r="M188" t="s">
        <v>42</v>
      </c>
    </row>
    <row r="189" spans="1:13" x14ac:dyDescent="0.35">
      <c r="A189" s="5">
        <v>46075</v>
      </c>
      <c r="B189" s="7">
        <f>EOMONTH(Table1[[#This Row],[Announcement_Date]],0)</f>
        <v>46081</v>
      </c>
      <c r="C189" t="s">
        <v>46</v>
      </c>
      <c r="D189" t="s">
        <v>22</v>
      </c>
      <c r="E189" t="s">
        <v>13</v>
      </c>
      <c r="F189" t="str">
        <f t="shared" si="2"/>
        <v>USA-NASDAQ</v>
      </c>
      <c r="G189" t="s">
        <v>57</v>
      </c>
      <c r="H189" t="s">
        <v>243</v>
      </c>
      <c r="I189" t="s">
        <v>25</v>
      </c>
      <c r="J189" t="s">
        <v>17</v>
      </c>
      <c r="K189" t="s">
        <v>18</v>
      </c>
      <c r="L189" t="s">
        <v>41</v>
      </c>
      <c r="M189" t="s">
        <v>55</v>
      </c>
    </row>
    <row r="190" spans="1:13" x14ac:dyDescent="0.35">
      <c r="A190" s="5">
        <v>45833</v>
      </c>
      <c r="B190" s="7">
        <f>EOMONTH(Table1[[#This Row],[Announcement_Date]],0)</f>
        <v>45838</v>
      </c>
      <c r="C190" t="s">
        <v>32</v>
      </c>
      <c r="D190" t="s">
        <v>12</v>
      </c>
      <c r="E190" t="s">
        <v>13</v>
      </c>
      <c r="F190" t="str">
        <f t="shared" si="2"/>
        <v>Canada-NASDAQ</v>
      </c>
      <c r="G190" t="s">
        <v>14</v>
      </c>
      <c r="H190" t="s">
        <v>244</v>
      </c>
      <c r="I190" t="s">
        <v>16</v>
      </c>
      <c r="J190" t="s">
        <v>17</v>
      </c>
      <c r="K190" t="s">
        <v>18</v>
      </c>
      <c r="L190" t="s">
        <v>41</v>
      </c>
      <c r="M190" t="s">
        <v>55</v>
      </c>
    </row>
    <row r="191" spans="1:13" x14ac:dyDescent="0.35">
      <c r="A191" s="5">
        <v>45830</v>
      </c>
      <c r="B191" s="7">
        <f>EOMONTH(Table1[[#This Row],[Announcement_Date]],0)</f>
        <v>45838</v>
      </c>
      <c r="C191" t="s">
        <v>32</v>
      </c>
      <c r="D191" t="s">
        <v>12</v>
      </c>
      <c r="E191" t="s">
        <v>13</v>
      </c>
      <c r="F191" t="str">
        <f t="shared" si="2"/>
        <v>Canada-NASDAQ</v>
      </c>
      <c r="G191" t="s">
        <v>57</v>
      </c>
      <c r="H191" t="s">
        <v>245</v>
      </c>
      <c r="I191" t="s">
        <v>16</v>
      </c>
      <c r="J191" t="s">
        <v>17</v>
      </c>
      <c r="K191" t="s">
        <v>45</v>
      </c>
      <c r="L191" t="s">
        <v>41</v>
      </c>
      <c r="M191" t="s">
        <v>42</v>
      </c>
    </row>
    <row r="192" spans="1:13" x14ac:dyDescent="0.35">
      <c r="A192" s="5">
        <v>45944</v>
      </c>
      <c r="B192" s="7">
        <f>EOMONTH(Table1[[#This Row],[Announcement_Date]],0)</f>
        <v>45961</v>
      </c>
      <c r="C192" t="s">
        <v>11</v>
      </c>
      <c r="D192" t="s">
        <v>12</v>
      </c>
      <c r="E192" t="s">
        <v>23</v>
      </c>
      <c r="F192" t="str">
        <f t="shared" si="2"/>
        <v>Canada-TSX</v>
      </c>
      <c r="G192" t="s">
        <v>43</v>
      </c>
      <c r="H192" t="s">
        <v>246</v>
      </c>
      <c r="I192" t="s">
        <v>25</v>
      </c>
      <c r="J192" t="s">
        <v>26</v>
      </c>
      <c r="K192" t="s">
        <v>45</v>
      </c>
      <c r="L192" t="s">
        <v>41</v>
      </c>
      <c r="M192" t="s">
        <v>20</v>
      </c>
    </row>
    <row r="193" spans="1:13" x14ac:dyDescent="0.35">
      <c r="A193" s="5">
        <v>45873</v>
      </c>
      <c r="B193" s="7">
        <f>EOMONTH(Table1[[#This Row],[Announcement_Date]],0)</f>
        <v>45900</v>
      </c>
      <c r="C193" t="s">
        <v>28</v>
      </c>
      <c r="D193" t="s">
        <v>22</v>
      </c>
      <c r="E193" t="s">
        <v>23</v>
      </c>
      <c r="F193" t="str">
        <f t="shared" si="2"/>
        <v>USA-TSX</v>
      </c>
      <c r="G193" t="s">
        <v>57</v>
      </c>
      <c r="H193" t="s">
        <v>247</v>
      </c>
      <c r="I193" t="s">
        <v>25</v>
      </c>
      <c r="J193" t="s">
        <v>36</v>
      </c>
      <c r="K193" t="s">
        <v>40</v>
      </c>
      <c r="L193" t="s">
        <v>19</v>
      </c>
      <c r="M193" t="s">
        <v>55</v>
      </c>
    </row>
    <row r="194" spans="1:13" x14ac:dyDescent="0.35">
      <c r="A194" s="5">
        <v>46097</v>
      </c>
      <c r="B194" s="7">
        <f>EOMONTH(Table1[[#This Row],[Announcement_Date]],0)</f>
        <v>46112</v>
      </c>
      <c r="C194" t="s">
        <v>75</v>
      </c>
      <c r="D194" t="s">
        <v>22</v>
      </c>
      <c r="E194" t="s">
        <v>23</v>
      </c>
      <c r="F194" t="str">
        <f t="shared" si="2"/>
        <v>USA-TSX</v>
      </c>
      <c r="G194" t="s">
        <v>43</v>
      </c>
      <c r="H194" t="s">
        <v>248</v>
      </c>
      <c r="I194" t="s">
        <v>16</v>
      </c>
      <c r="J194" t="s">
        <v>36</v>
      </c>
      <c r="K194" t="s">
        <v>40</v>
      </c>
      <c r="L194" t="s">
        <v>19</v>
      </c>
      <c r="M194" t="s">
        <v>42</v>
      </c>
    </row>
    <row r="195" spans="1:13" x14ac:dyDescent="0.35">
      <c r="A195" s="5">
        <v>46096</v>
      </c>
      <c r="B195" s="7">
        <f>EOMONTH(Table1[[#This Row],[Announcement_Date]],0)</f>
        <v>46112</v>
      </c>
      <c r="C195" t="s">
        <v>79</v>
      </c>
      <c r="D195" t="s">
        <v>22</v>
      </c>
      <c r="E195" t="s">
        <v>33</v>
      </c>
      <c r="F195" t="str">
        <f t="shared" ref="F195:F251" si="3">CONCATENATE(D195,"-",E195)</f>
        <v>USA-NYSE</v>
      </c>
      <c r="G195" t="s">
        <v>14</v>
      </c>
      <c r="H195" t="s">
        <v>249</v>
      </c>
      <c r="I195" t="s">
        <v>25</v>
      </c>
      <c r="J195" t="s">
        <v>36</v>
      </c>
      <c r="K195" t="s">
        <v>18</v>
      </c>
      <c r="L195" t="s">
        <v>41</v>
      </c>
      <c r="M195" t="s">
        <v>42</v>
      </c>
    </row>
    <row r="196" spans="1:13" x14ac:dyDescent="0.35">
      <c r="A196" s="5">
        <v>45949</v>
      </c>
      <c r="B196" s="7">
        <f>EOMONTH(Table1[[#This Row],[Announcement_Date]],0)</f>
        <v>45961</v>
      </c>
      <c r="C196" t="s">
        <v>88</v>
      </c>
      <c r="D196" t="s">
        <v>12</v>
      </c>
      <c r="E196" t="s">
        <v>33</v>
      </c>
      <c r="F196" t="str">
        <f t="shared" si="3"/>
        <v>Canada-NYSE</v>
      </c>
      <c r="G196" t="s">
        <v>43</v>
      </c>
      <c r="H196" t="s">
        <v>250</v>
      </c>
      <c r="I196" t="s">
        <v>16</v>
      </c>
      <c r="J196" t="s">
        <v>26</v>
      </c>
      <c r="K196" t="s">
        <v>52</v>
      </c>
      <c r="L196" t="s">
        <v>27</v>
      </c>
      <c r="M196" t="s">
        <v>20</v>
      </c>
    </row>
    <row r="197" spans="1:13" x14ac:dyDescent="0.35">
      <c r="A197" s="5">
        <v>46034</v>
      </c>
      <c r="B197" s="7">
        <f>EOMONTH(Table1[[#This Row],[Announcement_Date]],0)</f>
        <v>46053</v>
      </c>
      <c r="C197" t="s">
        <v>56</v>
      </c>
      <c r="D197" t="s">
        <v>12</v>
      </c>
      <c r="E197" t="s">
        <v>33</v>
      </c>
      <c r="F197" t="str">
        <f t="shared" si="3"/>
        <v>Canada-NYSE</v>
      </c>
      <c r="G197" t="s">
        <v>47</v>
      </c>
      <c r="H197" t="s">
        <v>251</v>
      </c>
      <c r="I197" t="s">
        <v>25</v>
      </c>
      <c r="J197" t="s">
        <v>36</v>
      </c>
      <c r="K197" t="s">
        <v>64</v>
      </c>
      <c r="L197" t="s">
        <v>19</v>
      </c>
      <c r="M197" t="s">
        <v>42</v>
      </c>
    </row>
    <row r="198" spans="1:13" x14ac:dyDescent="0.35">
      <c r="A198" s="5">
        <v>45975</v>
      </c>
      <c r="B198" s="7">
        <f>EOMONTH(Table1[[#This Row],[Announcement_Date]],0)</f>
        <v>45991</v>
      </c>
      <c r="C198" t="s">
        <v>11</v>
      </c>
      <c r="D198" t="s">
        <v>22</v>
      </c>
      <c r="E198" t="s">
        <v>33</v>
      </c>
      <c r="F198" t="str">
        <f t="shared" si="3"/>
        <v>USA-NYSE</v>
      </c>
      <c r="G198" t="s">
        <v>43</v>
      </c>
      <c r="H198" t="s">
        <v>252</v>
      </c>
      <c r="I198" t="s">
        <v>31</v>
      </c>
      <c r="J198" t="s">
        <v>26</v>
      </c>
      <c r="K198" t="s">
        <v>40</v>
      </c>
      <c r="L198" t="s">
        <v>41</v>
      </c>
      <c r="M198" t="s">
        <v>55</v>
      </c>
    </row>
    <row r="199" spans="1:13" x14ac:dyDescent="0.35">
      <c r="A199" s="5">
        <v>46099</v>
      </c>
      <c r="B199" s="7">
        <f>EOMONTH(Table1[[#This Row],[Announcement_Date]],0)</f>
        <v>46112</v>
      </c>
      <c r="C199" t="s">
        <v>79</v>
      </c>
      <c r="D199" t="s">
        <v>22</v>
      </c>
      <c r="E199" t="s">
        <v>33</v>
      </c>
      <c r="F199" t="str">
        <f t="shared" si="3"/>
        <v>USA-NYSE</v>
      </c>
      <c r="G199" t="s">
        <v>43</v>
      </c>
      <c r="H199" t="s">
        <v>253</v>
      </c>
      <c r="I199" t="s">
        <v>16</v>
      </c>
      <c r="J199" t="s">
        <v>36</v>
      </c>
      <c r="K199" t="s">
        <v>40</v>
      </c>
      <c r="L199" t="s">
        <v>19</v>
      </c>
      <c r="M199" t="s">
        <v>42</v>
      </c>
    </row>
    <row r="200" spans="1:13" x14ac:dyDescent="0.35">
      <c r="A200" s="5">
        <v>45879</v>
      </c>
      <c r="B200" s="7">
        <f>EOMONTH(Table1[[#This Row],[Announcement_Date]],0)</f>
        <v>45900</v>
      </c>
      <c r="C200" t="s">
        <v>46</v>
      </c>
      <c r="D200" t="s">
        <v>12</v>
      </c>
      <c r="E200" t="s">
        <v>23</v>
      </c>
      <c r="F200" t="str">
        <f t="shared" si="3"/>
        <v>Canada-TSX</v>
      </c>
      <c r="G200" t="s">
        <v>29</v>
      </c>
      <c r="H200" t="s">
        <v>254</v>
      </c>
      <c r="I200" t="s">
        <v>31</v>
      </c>
      <c r="J200" t="s">
        <v>26</v>
      </c>
      <c r="K200" t="s">
        <v>52</v>
      </c>
      <c r="L200" t="s">
        <v>41</v>
      </c>
      <c r="M200" t="s">
        <v>42</v>
      </c>
    </row>
    <row r="201" spans="1:13" x14ac:dyDescent="0.35">
      <c r="A201" s="5">
        <v>45863</v>
      </c>
      <c r="B201" s="7">
        <f>EOMONTH(Table1[[#This Row],[Announcement_Date]],0)</f>
        <v>45869</v>
      </c>
      <c r="C201" t="s">
        <v>79</v>
      </c>
      <c r="D201" t="s">
        <v>22</v>
      </c>
      <c r="E201" t="s">
        <v>23</v>
      </c>
      <c r="F201" t="str">
        <f t="shared" si="3"/>
        <v>USA-TSX</v>
      </c>
      <c r="G201" t="s">
        <v>47</v>
      </c>
      <c r="H201" t="s">
        <v>255</v>
      </c>
      <c r="I201" t="s">
        <v>31</v>
      </c>
      <c r="J201" t="s">
        <v>36</v>
      </c>
      <c r="K201" t="s">
        <v>18</v>
      </c>
      <c r="L201" t="s">
        <v>41</v>
      </c>
      <c r="M201" t="s">
        <v>42</v>
      </c>
    </row>
    <row r="202" spans="1:13" x14ac:dyDescent="0.35">
      <c r="A202" s="5">
        <v>45889</v>
      </c>
      <c r="B202" s="7">
        <f>EOMONTH(Table1[[#This Row],[Announcement_Date]],0)</f>
        <v>45900</v>
      </c>
      <c r="C202" t="s">
        <v>79</v>
      </c>
      <c r="D202" t="s">
        <v>22</v>
      </c>
      <c r="E202" t="s">
        <v>13</v>
      </c>
      <c r="F202" t="str">
        <f t="shared" si="3"/>
        <v>USA-NASDAQ</v>
      </c>
      <c r="G202" t="s">
        <v>34</v>
      </c>
      <c r="H202" t="s">
        <v>256</v>
      </c>
      <c r="I202" t="s">
        <v>31</v>
      </c>
      <c r="J202" t="s">
        <v>26</v>
      </c>
      <c r="K202" t="s">
        <v>64</v>
      </c>
      <c r="L202" t="s">
        <v>19</v>
      </c>
      <c r="M202" t="s">
        <v>55</v>
      </c>
    </row>
    <row r="203" spans="1:13" x14ac:dyDescent="0.35">
      <c r="A203" s="5">
        <v>45860</v>
      </c>
      <c r="B203" s="7">
        <f>EOMONTH(Table1[[#This Row],[Announcement_Date]],0)</f>
        <v>45869</v>
      </c>
      <c r="C203" t="s">
        <v>62</v>
      </c>
      <c r="D203" t="s">
        <v>12</v>
      </c>
      <c r="E203" t="s">
        <v>33</v>
      </c>
      <c r="F203" t="str">
        <f t="shared" si="3"/>
        <v>Canada-NYSE</v>
      </c>
      <c r="G203" t="s">
        <v>29</v>
      </c>
      <c r="H203" t="s">
        <v>257</v>
      </c>
      <c r="I203" t="s">
        <v>16</v>
      </c>
      <c r="J203" t="s">
        <v>17</v>
      </c>
      <c r="K203" t="s">
        <v>49</v>
      </c>
      <c r="L203" t="s">
        <v>19</v>
      </c>
      <c r="M203" t="s">
        <v>20</v>
      </c>
    </row>
    <row r="204" spans="1:13" x14ac:dyDescent="0.35">
      <c r="A204" s="5">
        <v>45806</v>
      </c>
      <c r="B204" s="7">
        <f>EOMONTH(Table1[[#This Row],[Announcement_Date]],0)</f>
        <v>45808</v>
      </c>
      <c r="C204" t="s">
        <v>46</v>
      </c>
      <c r="D204" t="s">
        <v>22</v>
      </c>
      <c r="E204" t="s">
        <v>13</v>
      </c>
      <c r="F204" t="str">
        <f t="shared" si="3"/>
        <v>USA-NASDAQ</v>
      </c>
      <c r="G204" t="s">
        <v>43</v>
      </c>
      <c r="H204" t="s">
        <v>258</v>
      </c>
      <c r="I204" t="s">
        <v>25</v>
      </c>
      <c r="J204" t="s">
        <v>26</v>
      </c>
      <c r="K204" t="s">
        <v>45</v>
      </c>
      <c r="L204" t="s">
        <v>19</v>
      </c>
      <c r="M204" t="s">
        <v>55</v>
      </c>
    </row>
    <row r="205" spans="1:13" x14ac:dyDescent="0.35">
      <c r="A205" s="5">
        <v>45997</v>
      </c>
      <c r="B205" s="7">
        <f>EOMONTH(Table1[[#This Row],[Announcement_Date]],0)</f>
        <v>46022</v>
      </c>
      <c r="C205" t="s">
        <v>53</v>
      </c>
      <c r="D205" t="s">
        <v>12</v>
      </c>
      <c r="E205" t="s">
        <v>23</v>
      </c>
      <c r="F205" t="str">
        <f t="shared" si="3"/>
        <v>Canada-TSX</v>
      </c>
      <c r="G205" t="s">
        <v>14</v>
      </c>
      <c r="H205" t="s">
        <v>259</v>
      </c>
      <c r="I205" t="s">
        <v>31</v>
      </c>
      <c r="J205" t="s">
        <v>17</v>
      </c>
      <c r="K205" t="s">
        <v>52</v>
      </c>
      <c r="L205" t="s">
        <v>41</v>
      </c>
      <c r="M205" t="s">
        <v>20</v>
      </c>
    </row>
    <row r="206" spans="1:13" x14ac:dyDescent="0.35">
      <c r="A206" s="5">
        <v>46020</v>
      </c>
      <c r="B206" s="7">
        <f>EOMONTH(Table1[[#This Row],[Announcement_Date]],0)</f>
        <v>46022</v>
      </c>
      <c r="C206" t="s">
        <v>88</v>
      </c>
      <c r="D206" t="s">
        <v>22</v>
      </c>
      <c r="E206" t="s">
        <v>13</v>
      </c>
      <c r="F206" t="str">
        <f t="shared" si="3"/>
        <v>USA-NASDAQ</v>
      </c>
      <c r="G206" t="s">
        <v>29</v>
      </c>
      <c r="H206" t="s">
        <v>260</v>
      </c>
      <c r="I206" t="s">
        <v>25</v>
      </c>
      <c r="J206" t="s">
        <v>36</v>
      </c>
      <c r="K206" t="s">
        <v>52</v>
      </c>
      <c r="L206" t="s">
        <v>27</v>
      </c>
      <c r="M206" t="s">
        <v>55</v>
      </c>
    </row>
    <row r="207" spans="1:13" x14ac:dyDescent="0.35">
      <c r="A207" s="5">
        <v>45937</v>
      </c>
      <c r="B207" s="7">
        <f>EOMONTH(Table1[[#This Row],[Announcement_Date]],0)</f>
        <v>45961</v>
      </c>
      <c r="C207" t="s">
        <v>53</v>
      </c>
      <c r="D207" t="s">
        <v>22</v>
      </c>
      <c r="E207" t="s">
        <v>33</v>
      </c>
      <c r="F207" t="str">
        <f t="shared" si="3"/>
        <v>USA-NYSE</v>
      </c>
      <c r="G207" t="s">
        <v>29</v>
      </c>
      <c r="H207" t="s">
        <v>261</v>
      </c>
      <c r="I207" t="s">
        <v>25</v>
      </c>
      <c r="J207" t="s">
        <v>36</v>
      </c>
      <c r="K207" t="s">
        <v>40</v>
      </c>
      <c r="L207" t="s">
        <v>27</v>
      </c>
      <c r="M207" t="s">
        <v>20</v>
      </c>
    </row>
    <row r="208" spans="1:13" x14ac:dyDescent="0.35">
      <c r="A208" s="5">
        <v>45905</v>
      </c>
      <c r="B208" s="7">
        <f>EOMONTH(Table1[[#This Row],[Announcement_Date]],0)</f>
        <v>45930</v>
      </c>
      <c r="C208" t="s">
        <v>38</v>
      </c>
      <c r="D208" t="s">
        <v>12</v>
      </c>
      <c r="E208" t="s">
        <v>33</v>
      </c>
      <c r="F208" t="str">
        <f t="shared" si="3"/>
        <v>Canada-NYSE</v>
      </c>
      <c r="G208" t="s">
        <v>14</v>
      </c>
      <c r="H208" t="s">
        <v>262</v>
      </c>
      <c r="I208" t="s">
        <v>31</v>
      </c>
      <c r="J208" t="s">
        <v>36</v>
      </c>
      <c r="K208" t="s">
        <v>37</v>
      </c>
      <c r="L208" t="s">
        <v>27</v>
      </c>
      <c r="M208" t="s">
        <v>42</v>
      </c>
    </row>
    <row r="209" spans="1:13" x14ac:dyDescent="0.35">
      <c r="A209" s="5">
        <v>45918</v>
      </c>
      <c r="B209" s="7">
        <f>EOMONTH(Table1[[#This Row],[Announcement_Date]],0)</f>
        <v>45930</v>
      </c>
      <c r="C209" t="s">
        <v>108</v>
      </c>
      <c r="D209" t="s">
        <v>22</v>
      </c>
      <c r="E209" t="s">
        <v>13</v>
      </c>
      <c r="F209" t="str">
        <f t="shared" si="3"/>
        <v>USA-NASDAQ</v>
      </c>
      <c r="G209" t="s">
        <v>34</v>
      </c>
      <c r="H209" t="s">
        <v>263</v>
      </c>
      <c r="I209" t="s">
        <v>16</v>
      </c>
      <c r="J209" t="s">
        <v>17</v>
      </c>
      <c r="K209" t="s">
        <v>40</v>
      </c>
      <c r="L209" t="s">
        <v>27</v>
      </c>
      <c r="M209" t="s">
        <v>55</v>
      </c>
    </row>
    <row r="210" spans="1:13" x14ac:dyDescent="0.35">
      <c r="A210" s="5">
        <v>45809</v>
      </c>
      <c r="B210" s="7">
        <f>EOMONTH(Table1[[#This Row],[Announcement_Date]],0)</f>
        <v>45838</v>
      </c>
      <c r="C210" t="s">
        <v>108</v>
      </c>
      <c r="D210" t="s">
        <v>12</v>
      </c>
      <c r="E210" t="s">
        <v>23</v>
      </c>
      <c r="F210" t="str">
        <f t="shared" si="3"/>
        <v>Canada-TSX</v>
      </c>
      <c r="G210" t="s">
        <v>14</v>
      </c>
      <c r="H210" t="s">
        <v>264</v>
      </c>
      <c r="I210" t="s">
        <v>16</v>
      </c>
      <c r="J210" t="s">
        <v>26</v>
      </c>
      <c r="K210" t="s">
        <v>52</v>
      </c>
      <c r="L210" t="s">
        <v>27</v>
      </c>
      <c r="M210" t="s">
        <v>55</v>
      </c>
    </row>
    <row r="211" spans="1:13" x14ac:dyDescent="0.35">
      <c r="A211" s="5">
        <v>45899</v>
      </c>
      <c r="B211" s="7">
        <f>EOMONTH(Table1[[#This Row],[Announcement_Date]],0)</f>
        <v>45900</v>
      </c>
      <c r="C211" t="s">
        <v>50</v>
      </c>
      <c r="D211" t="s">
        <v>12</v>
      </c>
      <c r="E211" t="s">
        <v>23</v>
      </c>
      <c r="F211" t="str">
        <f t="shared" si="3"/>
        <v>Canada-TSX</v>
      </c>
      <c r="G211" t="s">
        <v>29</v>
      </c>
      <c r="H211" t="s">
        <v>265</v>
      </c>
      <c r="I211" t="s">
        <v>31</v>
      </c>
      <c r="J211" t="s">
        <v>26</v>
      </c>
      <c r="K211" t="s">
        <v>40</v>
      </c>
      <c r="L211" t="s">
        <v>27</v>
      </c>
      <c r="M211" t="s">
        <v>42</v>
      </c>
    </row>
    <row r="212" spans="1:13" x14ac:dyDescent="0.35">
      <c r="A212" s="5">
        <v>45826</v>
      </c>
      <c r="B212" s="7">
        <f>EOMONTH(Table1[[#This Row],[Announcement_Date]],0)</f>
        <v>45838</v>
      </c>
      <c r="C212" t="s">
        <v>56</v>
      </c>
      <c r="D212" t="s">
        <v>12</v>
      </c>
      <c r="E212" t="s">
        <v>23</v>
      </c>
      <c r="F212" t="str">
        <f t="shared" si="3"/>
        <v>Canada-TSX</v>
      </c>
      <c r="G212" t="s">
        <v>29</v>
      </c>
      <c r="H212" t="s">
        <v>266</v>
      </c>
      <c r="I212" t="s">
        <v>31</v>
      </c>
      <c r="J212" t="s">
        <v>17</v>
      </c>
      <c r="K212" t="s">
        <v>49</v>
      </c>
      <c r="L212" t="s">
        <v>27</v>
      </c>
      <c r="M212" t="s">
        <v>55</v>
      </c>
    </row>
    <row r="213" spans="1:13" x14ac:dyDescent="0.35">
      <c r="A213" s="5">
        <v>45848</v>
      </c>
      <c r="B213" s="7">
        <f>EOMONTH(Table1[[#This Row],[Announcement_Date]],0)</f>
        <v>45869</v>
      </c>
      <c r="C213" t="s">
        <v>79</v>
      </c>
      <c r="D213" t="s">
        <v>22</v>
      </c>
      <c r="E213" t="s">
        <v>33</v>
      </c>
      <c r="F213" t="str">
        <f t="shared" si="3"/>
        <v>USA-NYSE</v>
      </c>
      <c r="G213" t="s">
        <v>14</v>
      </c>
      <c r="H213" t="s">
        <v>267</v>
      </c>
      <c r="I213" t="s">
        <v>16</v>
      </c>
      <c r="J213" t="s">
        <v>36</v>
      </c>
      <c r="K213" t="s">
        <v>49</v>
      </c>
      <c r="L213" t="s">
        <v>27</v>
      </c>
      <c r="M213" t="s">
        <v>55</v>
      </c>
    </row>
    <row r="214" spans="1:13" x14ac:dyDescent="0.35">
      <c r="A214" s="5">
        <v>46096</v>
      </c>
      <c r="B214" s="7">
        <f>EOMONTH(Table1[[#This Row],[Announcement_Date]],0)</f>
        <v>46112</v>
      </c>
      <c r="C214" t="s">
        <v>88</v>
      </c>
      <c r="D214" t="s">
        <v>22</v>
      </c>
      <c r="E214" t="s">
        <v>23</v>
      </c>
      <c r="F214" t="str">
        <f t="shared" si="3"/>
        <v>USA-TSX</v>
      </c>
      <c r="G214" t="s">
        <v>34</v>
      </c>
      <c r="H214" t="s">
        <v>268</v>
      </c>
      <c r="I214" t="s">
        <v>31</v>
      </c>
      <c r="J214" t="s">
        <v>17</v>
      </c>
      <c r="K214" t="s">
        <v>18</v>
      </c>
      <c r="L214" t="s">
        <v>19</v>
      </c>
      <c r="M214" t="s">
        <v>55</v>
      </c>
    </row>
    <row r="215" spans="1:13" x14ac:dyDescent="0.35">
      <c r="A215" s="5">
        <v>45767</v>
      </c>
      <c r="B215" s="7">
        <f>EOMONTH(Table1[[#This Row],[Announcement_Date]],0)</f>
        <v>45777</v>
      </c>
      <c r="C215" t="s">
        <v>53</v>
      </c>
      <c r="D215" t="s">
        <v>22</v>
      </c>
      <c r="E215" t="s">
        <v>33</v>
      </c>
      <c r="F215" t="str">
        <f t="shared" si="3"/>
        <v>USA-NYSE</v>
      </c>
      <c r="G215" t="s">
        <v>47</v>
      </c>
      <c r="H215" t="s">
        <v>269</v>
      </c>
      <c r="I215" t="s">
        <v>31</v>
      </c>
      <c r="J215" t="s">
        <v>17</v>
      </c>
      <c r="K215" t="s">
        <v>40</v>
      </c>
      <c r="L215" t="s">
        <v>27</v>
      </c>
      <c r="M215" t="s">
        <v>20</v>
      </c>
    </row>
    <row r="216" spans="1:13" x14ac:dyDescent="0.35">
      <c r="A216" s="5">
        <v>45836</v>
      </c>
      <c r="B216" s="7">
        <f>EOMONTH(Table1[[#This Row],[Announcement_Date]],0)</f>
        <v>45838</v>
      </c>
      <c r="C216" t="s">
        <v>50</v>
      </c>
      <c r="D216" t="s">
        <v>12</v>
      </c>
      <c r="E216" t="s">
        <v>33</v>
      </c>
      <c r="F216" t="str">
        <f t="shared" si="3"/>
        <v>Canada-NYSE</v>
      </c>
      <c r="G216" t="s">
        <v>47</v>
      </c>
      <c r="H216" t="s">
        <v>270</v>
      </c>
      <c r="I216" t="s">
        <v>16</v>
      </c>
      <c r="J216" t="s">
        <v>26</v>
      </c>
      <c r="K216" t="s">
        <v>52</v>
      </c>
      <c r="L216" t="s">
        <v>27</v>
      </c>
      <c r="M216" t="s">
        <v>20</v>
      </c>
    </row>
    <row r="217" spans="1:13" x14ac:dyDescent="0.35">
      <c r="A217" s="5">
        <v>45948</v>
      </c>
      <c r="B217" s="7">
        <f>EOMONTH(Table1[[#This Row],[Announcement_Date]],0)</f>
        <v>45961</v>
      </c>
      <c r="C217" t="s">
        <v>21</v>
      </c>
      <c r="D217" t="s">
        <v>12</v>
      </c>
      <c r="E217" t="s">
        <v>23</v>
      </c>
      <c r="F217" t="str">
        <f t="shared" si="3"/>
        <v>Canada-TSX</v>
      </c>
      <c r="G217" t="s">
        <v>14</v>
      </c>
      <c r="H217" t="s">
        <v>271</v>
      </c>
      <c r="I217" t="s">
        <v>16</v>
      </c>
      <c r="J217" t="s">
        <v>36</v>
      </c>
      <c r="K217" t="s">
        <v>45</v>
      </c>
      <c r="L217" t="s">
        <v>19</v>
      </c>
      <c r="M217" t="s">
        <v>42</v>
      </c>
    </row>
    <row r="218" spans="1:13" x14ac:dyDescent="0.35">
      <c r="A218" s="5">
        <v>45844</v>
      </c>
      <c r="B218" s="7">
        <f>EOMONTH(Table1[[#This Row],[Announcement_Date]],0)</f>
        <v>45869</v>
      </c>
      <c r="C218" t="s">
        <v>50</v>
      </c>
      <c r="D218" t="s">
        <v>22</v>
      </c>
      <c r="E218" t="s">
        <v>33</v>
      </c>
      <c r="F218" t="str">
        <f t="shared" si="3"/>
        <v>USA-NYSE</v>
      </c>
      <c r="G218" t="s">
        <v>14</v>
      </c>
      <c r="H218" t="s">
        <v>272</v>
      </c>
      <c r="I218" t="s">
        <v>16</v>
      </c>
      <c r="J218" t="s">
        <v>36</v>
      </c>
      <c r="K218" t="s">
        <v>49</v>
      </c>
      <c r="L218" t="s">
        <v>19</v>
      </c>
      <c r="M218" t="s">
        <v>55</v>
      </c>
    </row>
    <row r="219" spans="1:13" x14ac:dyDescent="0.35">
      <c r="A219" s="5">
        <v>45965</v>
      </c>
      <c r="B219" s="7">
        <f>EOMONTH(Table1[[#This Row],[Announcement_Date]],0)</f>
        <v>45991</v>
      </c>
      <c r="C219" t="s">
        <v>46</v>
      </c>
      <c r="D219" t="s">
        <v>22</v>
      </c>
      <c r="E219" t="s">
        <v>33</v>
      </c>
      <c r="F219" t="str">
        <f t="shared" si="3"/>
        <v>USA-NYSE</v>
      </c>
      <c r="G219" t="s">
        <v>29</v>
      </c>
      <c r="H219" t="s">
        <v>273</v>
      </c>
      <c r="I219" t="s">
        <v>16</v>
      </c>
      <c r="J219" t="s">
        <v>26</v>
      </c>
      <c r="K219" t="s">
        <v>18</v>
      </c>
      <c r="L219" t="s">
        <v>27</v>
      </c>
      <c r="M219" t="s">
        <v>55</v>
      </c>
    </row>
    <row r="220" spans="1:13" x14ac:dyDescent="0.35">
      <c r="A220" s="5">
        <v>46076</v>
      </c>
      <c r="B220" s="7">
        <f>EOMONTH(Table1[[#This Row],[Announcement_Date]],0)</f>
        <v>46081</v>
      </c>
      <c r="C220" t="s">
        <v>46</v>
      </c>
      <c r="D220" t="s">
        <v>12</v>
      </c>
      <c r="E220" t="s">
        <v>23</v>
      </c>
      <c r="F220" t="str">
        <f t="shared" si="3"/>
        <v>Canada-TSX</v>
      </c>
      <c r="G220" t="s">
        <v>34</v>
      </c>
      <c r="H220" t="s">
        <v>274</v>
      </c>
      <c r="I220" t="s">
        <v>31</v>
      </c>
      <c r="J220" t="s">
        <v>36</v>
      </c>
      <c r="K220" t="s">
        <v>45</v>
      </c>
      <c r="L220" t="s">
        <v>27</v>
      </c>
      <c r="M220" t="s">
        <v>55</v>
      </c>
    </row>
    <row r="221" spans="1:13" x14ac:dyDescent="0.35">
      <c r="A221" s="5">
        <v>46025</v>
      </c>
      <c r="B221" s="7">
        <f>EOMONTH(Table1[[#This Row],[Announcement_Date]],0)</f>
        <v>46053</v>
      </c>
      <c r="C221" t="s">
        <v>108</v>
      </c>
      <c r="D221" t="s">
        <v>12</v>
      </c>
      <c r="E221" t="s">
        <v>33</v>
      </c>
      <c r="F221" t="str">
        <f t="shared" si="3"/>
        <v>Canada-NYSE</v>
      </c>
      <c r="G221" t="s">
        <v>47</v>
      </c>
      <c r="H221" t="s">
        <v>275</v>
      </c>
      <c r="I221" t="s">
        <v>31</v>
      </c>
      <c r="J221" t="s">
        <v>36</v>
      </c>
      <c r="K221" t="s">
        <v>40</v>
      </c>
      <c r="L221" t="s">
        <v>27</v>
      </c>
      <c r="M221" t="s">
        <v>42</v>
      </c>
    </row>
    <row r="222" spans="1:13" x14ac:dyDescent="0.35">
      <c r="A222" s="5">
        <v>45978</v>
      </c>
      <c r="B222" s="7">
        <f>EOMONTH(Table1[[#This Row],[Announcement_Date]],0)</f>
        <v>45991</v>
      </c>
      <c r="C222" t="s">
        <v>50</v>
      </c>
      <c r="D222" t="s">
        <v>12</v>
      </c>
      <c r="E222" t="s">
        <v>23</v>
      </c>
      <c r="F222" t="str">
        <f t="shared" si="3"/>
        <v>Canada-TSX</v>
      </c>
      <c r="G222" t="s">
        <v>57</v>
      </c>
      <c r="H222" t="s">
        <v>276</v>
      </c>
      <c r="I222" t="s">
        <v>25</v>
      </c>
      <c r="J222" t="s">
        <v>36</v>
      </c>
      <c r="K222" t="s">
        <v>40</v>
      </c>
      <c r="L222" t="s">
        <v>19</v>
      </c>
      <c r="M222" t="s">
        <v>55</v>
      </c>
    </row>
    <row r="223" spans="1:13" x14ac:dyDescent="0.35">
      <c r="A223" s="5">
        <v>45926</v>
      </c>
      <c r="B223" s="7">
        <f>EOMONTH(Table1[[#This Row],[Announcement_Date]],0)</f>
        <v>45930</v>
      </c>
      <c r="C223" t="s">
        <v>21</v>
      </c>
      <c r="D223" t="s">
        <v>12</v>
      </c>
      <c r="E223" t="s">
        <v>23</v>
      </c>
      <c r="F223" t="str">
        <f t="shared" si="3"/>
        <v>Canada-TSX</v>
      </c>
      <c r="G223" t="s">
        <v>43</v>
      </c>
      <c r="H223" t="s">
        <v>277</v>
      </c>
      <c r="I223" t="s">
        <v>16</v>
      </c>
      <c r="J223" t="s">
        <v>26</v>
      </c>
      <c r="K223" t="s">
        <v>45</v>
      </c>
      <c r="L223" t="s">
        <v>41</v>
      </c>
      <c r="M223" t="s">
        <v>20</v>
      </c>
    </row>
    <row r="224" spans="1:13" x14ac:dyDescent="0.35">
      <c r="A224" s="5">
        <v>46058</v>
      </c>
      <c r="B224" s="7">
        <f>EOMONTH(Table1[[#This Row],[Announcement_Date]],0)</f>
        <v>46081</v>
      </c>
      <c r="C224" t="s">
        <v>56</v>
      </c>
      <c r="D224" t="s">
        <v>22</v>
      </c>
      <c r="E224" t="s">
        <v>13</v>
      </c>
      <c r="F224" t="str">
        <f t="shared" si="3"/>
        <v>USA-NASDAQ</v>
      </c>
      <c r="G224" t="s">
        <v>34</v>
      </c>
      <c r="H224" t="s">
        <v>278</v>
      </c>
      <c r="I224" t="s">
        <v>25</v>
      </c>
      <c r="J224" t="s">
        <v>36</v>
      </c>
      <c r="K224" t="s">
        <v>64</v>
      </c>
      <c r="L224" t="s">
        <v>19</v>
      </c>
      <c r="M224" t="s">
        <v>42</v>
      </c>
    </row>
    <row r="225" spans="1:13" x14ac:dyDescent="0.35">
      <c r="A225" s="5">
        <v>45778</v>
      </c>
      <c r="B225" s="7">
        <f>EOMONTH(Table1[[#This Row],[Announcement_Date]],0)</f>
        <v>45808</v>
      </c>
      <c r="C225" t="s">
        <v>21</v>
      </c>
      <c r="D225" t="s">
        <v>22</v>
      </c>
      <c r="E225" t="s">
        <v>23</v>
      </c>
      <c r="F225" t="str">
        <f t="shared" si="3"/>
        <v>USA-TSX</v>
      </c>
      <c r="G225" t="s">
        <v>29</v>
      </c>
      <c r="H225" t="s">
        <v>279</v>
      </c>
      <c r="I225" t="s">
        <v>25</v>
      </c>
      <c r="J225" t="s">
        <v>36</v>
      </c>
      <c r="K225" t="s">
        <v>40</v>
      </c>
      <c r="L225" t="s">
        <v>19</v>
      </c>
      <c r="M225" t="s">
        <v>42</v>
      </c>
    </row>
    <row r="226" spans="1:13" x14ac:dyDescent="0.35">
      <c r="A226" s="5">
        <v>45788</v>
      </c>
      <c r="B226" s="7">
        <f>EOMONTH(Table1[[#This Row],[Announcement_Date]],0)</f>
        <v>45808</v>
      </c>
      <c r="C226" t="s">
        <v>46</v>
      </c>
      <c r="D226" t="s">
        <v>12</v>
      </c>
      <c r="E226" t="s">
        <v>13</v>
      </c>
      <c r="F226" t="str">
        <f t="shared" si="3"/>
        <v>Canada-NASDAQ</v>
      </c>
      <c r="G226" t="s">
        <v>34</v>
      </c>
      <c r="H226" t="s">
        <v>280</v>
      </c>
      <c r="I226" t="s">
        <v>16</v>
      </c>
      <c r="J226" t="s">
        <v>26</v>
      </c>
      <c r="K226" t="s">
        <v>37</v>
      </c>
      <c r="L226" t="s">
        <v>41</v>
      </c>
      <c r="M226" t="s">
        <v>42</v>
      </c>
    </row>
    <row r="227" spans="1:13" x14ac:dyDescent="0.35">
      <c r="A227" s="5">
        <v>45866</v>
      </c>
      <c r="B227" s="7">
        <f>EOMONTH(Table1[[#This Row],[Announcement_Date]],0)</f>
        <v>45869</v>
      </c>
      <c r="C227" t="s">
        <v>88</v>
      </c>
      <c r="D227" t="s">
        <v>22</v>
      </c>
      <c r="E227" t="s">
        <v>23</v>
      </c>
      <c r="F227" t="str">
        <f t="shared" si="3"/>
        <v>USA-TSX</v>
      </c>
      <c r="G227" t="s">
        <v>57</v>
      </c>
      <c r="H227" t="s">
        <v>281</v>
      </c>
      <c r="I227" t="s">
        <v>31</v>
      </c>
      <c r="J227" t="s">
        <v>17</v>
      </c>
      <c r="K227" t="s">
        <v>40</v>
      </c>
      <c r="L227" t="s">
        <v>41</v>
      </c>
      <c r="M227" t="s">
        <v>20</v>
      </c>
    </row>
    <row r="228" spans="1:13" x14ac:dyDescent="0.35">
      <c r="A228" s="5">
        <v>45905</v>
      </c>
      <c r="B228" s="7">
        <f>EOMONTH(Table1[[#This Row],[Announcement_Date]],0)</f>
        <v>45930</v>
      </c>
      <c r="C228" t="s">
        <v>88</v>
      </c>
      <c r="D228" t="s">
        <v>12</v>
      </c>
      <c r="E228" t="s">
        <v>13</v>
      </c>
      <c r="F228" t="str">
        <f t="shared" si="3"/>
        <v>Canada-NASDAQ</v>
      </c>
      <c r="G228" t="s">
        <v>34</v>
      </c>
      <c r="H228" t="s">
        <v>282</v>
      </c>
      <c r="I228" t="s">
        <v>25</v>
      </c>
      <c r="J228" t="s">
        <v>36</v>
      </c>
      <c r="K228" t="s">
        <v>64</v>
      </c>
      <c r="L228" t="s">
        <v>27</v>
      </c>
      <c r="M228" t="s">
        <v>20</v>
      </c>
    </row>
    <row r="229" spans="1:13" x14ac:dyDescent="0.35">
      <c r="A229" s="5">
        <v>46030</v>
      </c>
      <c r="B229" s="7">
        <f>EOMONTH(Table1[[#This Row],[Announcement_Date]],0)</f>
        <v>46053</v>
      </c>
      <c r="C229" t="s">
        <v>38</v>
      </c>
      <c r="D229" t="s">
        <v>12</v>
      </c>
      <c r="E229" t="s">
        <v>23</v>
      </c>
      <c r="F229" t="str">
        <f t="shared" si="3"/>
        <v>Canada-TSX</v>
      </c>
      <c r="G229" t="s">
        <v>57</v>
      </c>
      <c r="H229" t="s">
        <v>283</v>
      </c>
      <c r="I229" t="s">
        <v>25</v>
      </c>
      <c r="J229" t="s">
        <v>36</v>
      </c>
      <c r="K229" t="s">
        <v>40</v>
      </c>
      <c r="L229" t="s">
        <v>41</v>
      </c>
      <c r="M229" t="s">
        <v>20</v>
      </c>
    </row>
    <row r="230" spans="1:13" x14ac:dyDescent="0.35">
      <c r="A230" s="5">
        <v>46009</v>
      </c>
      <c r="B230" s="7">
        <f>EOMONTH(Table1[[#This Row],[Announcement_Date]],0)</f>
        <v>46022</v>
      </c>
      <c r="C230" t="s">
        <v>53</v>
      </c>
      <c r="D230" t="s">
        <v>12</v>
      </c>
      <c r="E230" t="s">
        <v>23</v>
      </c>
      <c r="F230" t="str">
        <f t="shared" si="3"/>
        <v>Canada-TSX</v>
      </c>
      <c r="G230" t="s">
        <v>34</v>
      </c>
      <c r="H230" t="s">
        <v>284</v>
      </c>
      <c r="I230" t="s">
        <v>31</v>
      </c>
      <c r="J230" t="s">
        <v>36</v>
      </c>
      <c r="K230" t="s">
        <v>64</v>
      </c>
      <c r="L230" t="s">
        <v>27</v>
      </c>
      <c r="M230" t="s">
        <v>42</v>
      </c>
    </row>
    <row r="231" spans="1:13" x14ac:dyDescent="0.35">
      <c r="A231" s="5">
        <v>45950</v>
      </c>
      <c r="B231" s="7">
        <f>EOMONTH(Table1[[#This Row],[Announcement_Date]],0)</f>
        <v>45961</v>
      </c>
      <c r="C231" t="s">
        <v>69</v>
      </c>
      <c r="D231" t="s">
        <v>22</v>
      </c>
      <c r="E231" t="s">
        <v>23</v>
      </c>
      <c r="F231" t="str">
        <f t="shared" si="3"/>
        <v>USA-TSX</v>
      </c>
      <c r="G231" t="s">
        <v>14</v>
      </c>
      <c r="H231" t="s">
        <v>285</v>
      </c>
      <c r="I231" t="s">
        <v>25</v>
      </c>
      <c r="J231" t="s">
        <v>26</v>
      </c>
      <c r="K231" t="s">
        <v>49</v>
      </c>
      <c r="L231" t="s">
        <v>19</v>
      </c>
      <c r="M231" t="s">
        <v>55</v>
      </c>
    </row>
    <row r="232" spans="1:13" x14ac:dyDescent="0.35">
      <c r="A232" s="5">
        <v>46044</v>
      </c>
      <c r="B232" s="7">
        <f>EOMONTH(Table1[[#This Row],[Announcement_Date]],0)</f>
        <v>46053</v>
      </c>
      <c r="C232" t="s">
        <v>21</v>
      </c>
      <c r="D232" t="s">
        <v>22</v>
      </c>
      <c r="E232" t="s">
        <v>13</v>
      </c>
      <c r="F232" t="str">
        <f t="shared" si="3"/>
        <v>USA-NASDAQ</v>
      </c>
      <c r="G232" t="s">
        <v>34</v>
      </c>
      <c r="H232" t="s">
        <v>286</v>
      </c>
      <c r="I232" t="s">
        <v>16</v>
      </c>
      <c r="J232" t="s">
        <v>17</v>
      </c>
      <c r="K232" t="s">
        <v>40</v>
      </c>
      <c r="L232" t="s">
        <v>27</v>
      </c>
      <c r="M232" t="s">
        <v>20</v>
      </c>
    </row>
    <row r="233" spans="1:13" x14ac:dyDescent="0.35">
      <c r="A233" s="5">
        <v>45755</v>
      </c>
      <c r="B233" s="7">
        <f>EOMONTH(Table1[[#This Row],[Announcement_Date]],0)</f>
        <v>45777</v>
      </c>
      <c r="C233" t="s">
        <v>32</v>
      </c>
      <c r="D233" t="s">
        <v>22</v>
      </c>
      <c r="E233" t="s">
        <v>33</v>
      </c>
      <c r="F233" t="str">
        <f t="shared" si="3"/>
        <v>USA-NYSE</v>
      </c>
      <c r="G233" t="s">
        <v>14</v>
      </c>
      <c r="H233" t="s">
        <v>287</v>
      </c>
      <c r="I233" t="s">
        <v>31</v>
      </c>
      <c r="J233" t="s">
        <v>26</v>
      </c>
      <c r="K233" t="s">
        <v>37</v>
      </c>
      <c r="L233" t="s">
        <v>19</v>
      </c>
      <c r="M233" t="s">
        <v>55</v>
      </c>
    </row>
    <row r="234" spans="1:13" x14ac:dyDescent="0.35">
      <c r="A234" s="5">
        <v>45797</v>
      </c>
      <c r="B234" s="7">
        <f>EOMONTH(Table1[[#This Row],[Announcement_Date]],0)</f>
        <v>45808</v>
      </c>
      <c r="C234" t="s">
        <v>21</v>
      </c>
      <c r="D234" t="s">
        <v>12</v>
      </c>
      <c r="E234" t="s">
        <v>13</v>
      </c>
      <c r="F234" t="str">
        <f t="shared" si="3"/>
        <v>Canada-NASDAQ</v>
      </c>
      <c r="G234" t="s">
        <v>43</v>
      </c>
      <c r="H234" t="s">
        <v>288</v>
      </c>
      <c r="I234" t="s">
        <v>25</v>
      </c>
      <c r="J234" t="s">
        <v>36</v>
      </c>
      <c r="K234" t="s">
        <v>37</v>
      </c>
      <c r="L234" t="s">
        <v>19</v>
      </c>
      <c r="M234" t="s">
        <v>20</v>
      </c>
    </row>
    <row r="235" spans="1:13" x14ac:dyDescent="0.35">
      <c r="A235" s="5">
        <v>45865</v>
      </c>
      <c r="B235" s="7">
        <f>EOMONTH(Table1[[#This Row],[Announcement_Date]],0)</f>
        <v>45869</v>
      </c>
      <c r="C235" t="s">
        <v>88</v>
      </c>
      <c r="D235" t="s">
        <v>12</v>
      </c>
      <c r="E235" t="s">
        <v>23</v>
      </c>
      <c r="F235" t="str">
        <f t="shared" si="3"/>
        <v>Canada-TSX</v>
      </c>
      <c r="G235" t="s">
        <v>47</v>
      </c>
      <c r="H235" t="s">
        <v>289</v>
      </c>
      <c r="I235" t="s">
        <v>16</v>
      </c>
      <c r="J235" t="s">
        <v>17</v>
      </c>
      <c r="K235" t="s">
        <v>40</v>
      </c>
      <c r="L235" t="s">
        <v>41</v>
      </c>
      <c r="M235" t="s">
        <v>42</v>
      </c>
    </row>
    <row r="236" spans="1:13" x14ac:dyDescent="0.35">
      <c r="A236" s="5">
        <v>46068</v>
      </c>
      <c r="B236" s="7">
        <f>EOMONTH(Table1[[#This Row],[Announcement_Date]],0)</f>
        <v>46081</v>
      </c>
      <c r="C236" t="s">
        <v>50</v>
      </c>
      <c r="D236" t="s">
        <v>22</v>
      </c>
      <c r="E236" t="s">
        <v>13</v>
      </c>
      <c r="F236" t="str">
        <f t="shared" si="3"/>
        <v>USA-NASDAQ</v>
      </c>
      <c r="G236" t="s">
        <v>14</v>
      </c>
      <c r="H236" t="s">
        <v>290</v>
      </c>
      <c r="I236" t="s">
        <v>31</v>
      </c>
      <c r="J236" t="s">
        <v>26</v>
      </c>
      <c r="K236" t="s">
        <v>37</v>
      </c>
      <c r="L236" t="s">
        <v>41</v>
      </c>
      <c r="M236" t="s">
        <v>55</v>
      </c>
    </row>
    <row r="237" spans="1:13" x14ac:dyDescent="0.35">
      <c r="A237" s="5">
        <v>45909</v>
      </c>
      <c r="B237" s="7">
        <f>EOMONTH(Table1[[#This Row],[Announcement_Date]],0)</f>
        <v>45930</v>
      </c>
      <c r="C237" t="s">
        <v>53</v>
      </c>
      <c r="D237" t="s">
        <v>22</v>
      </c>
      <c r="E237" t="s">
        <v>23</v>
      </c>
      <c r="F237" t="str">
        <f t="shared" si="3"/>
        <v>USA-TSX</v>
      </c>
      <c r="G237" t="s">
        <v>47</v>
      </c>
      <c r="H237" t="s">
        <v>291</v>
      </c>
      <c r="I237" t="s">
        <v>31</v>
      </c>
      <c r="J237" t="s">
        <v>36</v>
      </c>
      <c r="K237" t="s">
        <v>52</v>
      </c>
      <c r="L237" t="s">
        <v>19</v>
      </c>
      <c r="M237" t="s">
        <v>42</v>
      </c>
    </row>
    <row r="238" spans="1:13" x14ac:dyDescent="0.35">
      <c r="A238" s="5">
        <v>45938</v>
      </c>
      <c r="B238" s="7">
        <f>EOMONTH(Table1[[#This Row],[Announcement_Date]],0)</f>
        <v>45961</v>
      </c>
      <c r="C238" t="s">
        <v>11</v>
      </c>
      <c r="D238" t="s">
        <v>12</v>
      </c>
      <c r="E238" t="s">
        <v>13</v>
      </c>
      <c r="F238" t="str">
        <f t="shared" si="3"/>
        <v>Canada-NASDAQ</v>
      </c>
      <c r="G238" t="s">
        <v>57</v>
      </c>
      <c r="H238" t="s">
        <v>292</v>
      </c>
      <c r="I238" t="s">
        <v>31</v>
      </c>
      <c r="J238" t="s">
        <v>36</v>
      </c>
      <c r="K238" t="s">
        <v>45</v>
      </c>
      <c r="L238" t="s">
        <v>19</v>
      </c>
      <c r="M238" t="s">
        <v>55</v>
      </c>
    </row>
    <row r="239" spans="1:13" x14ac:dyDescent="0.35">
      <c r="A239" s="5">
        <v>45763</v>
      </c>
      <c r="B239" s="7">
        <f>EOMONTH(Table1[[#This Row],[Announcement_Date]],0)</f>
        <v>45777</v>
      </c>
      <c r="C239" t="s">
        <v>108</v>
      </c>
      <c r="D239" t="s">
        <v>22</v>
      </c>
      <c r="E239" t="s">
        <v>13</v>
      </c>
      <c r="F239" t="str">
        <f t="shared" si="3"/>
        <v>USA-NASDAQ</v>
      </c>
      <c r="G239" t="s">
        <v>34</v>
      </c>
      <c r="H239" t="s">
        <v>293</v>
      </c>
      <c r="I239" t="s">
        <v>31</v>
      </c>
      <c r="J239" t="s">
        <v>36</v>
      </c>
      <c r="K239" t="s">
        <v>52</v>
      </c>
      <c r="L239" t="s">
        <v>27</v>
      </c>
      <c r="M239" t="s">
        <v>55</v>
      </c>
    </row>
    <row r="240" spans="1:13" x14ac:dyDescent="0.35">
      <c r="A240" s="5">
        <v>45816</v>
      </c>
      <c r="B240" s="7">
        <f>EOMONTH(Table1[[#This Row],[Announcement_Date]],0)</f>
        <v>45838</v>
      </c>
      <c r="C240" t="s">
        <v>46</v>
      </c>
      <c r="D240" t="s">
        <v>22</v>
      </c>
      <c r="E240" t="s">
        <v>33</v>
      </c>
      <c r="F240" t="str">
        <f t="shared" si="3"/>
        <v>USA-NYSE</v>
      </c>
      <c r="G240" t="s">
        <v>43</v>
      </c>
      <c r="H240" t="s">
        <v>294</v>
      </c>
      <c r="I240" t="s">
        <v>25</v>
      </c>
      <c r="J240" t="s">
        <v>36</v>
      </c>
      <c r="K240" t="s">
        <v>64</v>
      </c>
      <c r="L240" t="s">
        <v>27</v>
      </c>
      <c r="M240" t="s">
        <v>20</v>
      </c>
    </row>
    <row r="241" spans="1:13" x14ac:dyDescent="0.35">
      <c r="A241" s="5">
        <v>45835</v>
      </c>
      <c r="B241" s="7">
        <f>EOMONTH(Table1[[#This Row],[Announcement_Date]],0)</f>
        <v>45838</v>
      </c>
      <c r="C241" t="s">
        <v>21</v>
      </c>
      <c r="D241" t="s">
        <v>22</v>
      </c>
      <c r="E241" t="s">
        <v>33</v>
      </c>
      <c r="F241" t="str">
        <f t="shared" si="3"/>
        <v>USA-NYSE</v>
      </c>
      <c r="G241" t="s">
        <v>29</v>
      </c>
      <c r="H241" t="s">
        <v>295</v>
      </c>
      <c r="I241" t="s">
        <v>16</v>
      </c>
      <c r="J241" t="s">
        <v>26</v>
      </c>
      <c r="K241" t="s">
        <v>40</v>
      </c>
      <c r="L241" t="s">
        <v>19</v>
      </c>
      <c r="M241" t="s">
        <v>55</v>
      </c>
    </row>
    <row r="242" spans="1:13" x14ac:dyDescent="0.35">
      <c r="A242" s="5">
        <v>46068</v>
      </c>
      <c r="B242" s="7">
        <f>EOMONTH(Table1[[#This Row],[Announcement_Date]],0)</f>
        <v>46081</v>
      </c>
      <c r="C242" t="s">
        <v>32</v>
      </c>
      <c r="D242" t="s">
        <v>22</v>
      </c>
      <c r="E242" t="s">
        <v>23</v>
      </c>
      <c r="F242" t="str">
        <f t="shared" si="3"/>
        <v>USA-TSX</v>
      </c>
      <c r="G242" t="s">
        <v>43</v>
      </c>
      <c r="H242" t="s">
        <v>296</v>
      </c>
      <c r="I242" t="s">
        <v>25</v>
      </c>
      <c r="J242" t="s">
        <v>36</v>
      </c>
      <c r="K242" t="s">
        <v>18</v>
      </c>
      <c r="L242" t="s">
        <v>41</v>
      </c>
      <c r="M242" t="s">
        <v>42</v>
      </c>
    </row>
    <row r="243" spans="1:13" x14ac:dyDescent="0.35">
      <c r="A243" s="5">
        <v>46007</v>
      </c>
      <c r="B243" s="7">
        <f>EOMONTH(Table1[[#This Row],[Announcement_Date]],0)</f>
        <v>46022</v>
      </c>
      <c r="C243" t="s">
        <v>32</v>
      </c>
      <c r="D243" t="s">
        <v>22</v>
      </c>
      <c r="E243" t="s">
        <v>23</v>
      </c>
      <c r="F243" t="str">
        <f t="shared" si="3"/>
        <v>USA-TSX</v>
      </c>
      <c r="G243" t="s">
        <v>14</v>
      </c>
      <c r="H243" t="s">
        <v>297</v>
      </c>
      <c r="I243" t="s">
        <v>31</v>
      </c>
      <c r="J243" t="s">
        <v>36</v>
      </c>
      <c r="K243" t="s">
        <v>52</v>
      </c>
      <c r="L243" t="s">
        <v>41</v>
      </c>
      <c r="M243" t="s">
        <v>42</v>
      </c>
    </row>
    <row r="244" spans="1:13" x14ac:dyDescent="0.35">
      <c r="A244" s="5">
        <v>46108</v>
      </c>
      <c r="B244" s="7">
        <f>EOMONTH(Table1[[#This Row],[Announcement_Date]],0)</f>
        <v>46112</v>
      </c>
      <c r="C244" t="s">
        <v>50</v>
      </c>
      <c r="D244" t="s">
        <v>22</v>
      </c>
      <c r="E244" t="s">
        <v>33</v>
      </c>
      <c r="F244" t="str">
        <f t="shared" si="3"/>
        <v>USA-NYSE</v>
      </c>
      <c r="G244" t="s">
        <v>43</v>
      </c>
      <c r="H244" t="s">
        <v>298</v>
      </c>
      <c r="I244" t="s">
        <v>31</v>
      </c>
      <c r="J244" t="s">
        <v>17</v>
      </c>
      <c r="K244" t="s">
        <v>18</v>
      </c>
      <c r="L244" t="s">
        <v>27</v>
      </c>
      <c r="M244" t="s">
        <v>55</v>
      </c>
    </row>
    <row r="245" spans="1:13" x14ac:dyDescent="0.35">
      <c r="A245" s="5">
        <v>45935</v>
      </c>
      <c r="B245" s="7">
        <f>EOMONTH(Table1[[#This Row],[Announcement_Date]],0)</f>
        <v>45961</v>
      </c>
      <c r="C245" t="s">
        <v>53</v>
      </c>
      <c r="D245" t="s">
        <v>12</v>
      </c>
      <c r="E245" t="s">
        <v>33</v>
      </c>
      <c r="F245" t="str">
        <f t="shared" si="3"/>
        <v>Canada-NYSE</v>
      </c>
      <c r="G245" t="s">
        <v>57</v>
      </c>
      <c r="H245" t="s">
        <v>299</v>
      </c>
      <c r="I245" t="s">
        <v>31</v>
      </c>
      <c r="J245" t="s">
        <v>26</v>
      </c>
      <c r="K245" t="s">
        <v>52</v>
      </c>
      <c r="L245" t="s">
        <v>41</v>
      </c>
      <c r="M245" t="s">
        <v>42</v>
      </c>
    </row>
    <row r="246" spans="1:13" x14ac:dyDescent="0.35">
      <c r="A246" s="5">
        <v>46107</v>
      </c>
      <c r="B246" s="7">
        <f>EOMONTH(Table1[[#This Row],[Announcement_Date]],0)</f>
        <v>46112</v>
      </c>
      <c r="C246" t="s">
        <v>28</v>
      </c>
      <c r="D246" t="s">
        <v>12</v>
      </c>
      <c r="E246" t="s">
        <v>23</v>
      </c>
      <c r="F246" t="str">
        <f t="shared" si="3"/>
        <v>Canada-TSX</v>
      </c>
      <c r="G246" t="s">
        <v>47</v>
      </c>
      <c r="H246" t="s">
        <v>300</v>
      </c>
      <c r="I246" t="s">
        <v>25</v>
      </c>
      <c r="J246" t="s">
        <v>36</v>
      </c>
      <c r="K246" t="s">
        <v>52</v>
      </c>
      <c r="L246" t="s">
        <v>19</v>
      </c>
      <c r="M246" t="s">
        <v>55</v>
      </c>
    </row>
    <row r="247" spans="1:13" x14ac:dyDescent="0.35">
      <c r="A247" s="5">
        <v>46027</v>
      </c>
      <c r="B247" s="7">
        <f>EOMONTH(Table1[[#This Row],[Announcement_Date]],0)</f>
        <v>46053</v>
      </c>
      <c r="C247" t="s">
        <v>75</v>
      </c>
      <c r="D247" t="s">
        <v>22</v>
      </c>
      <c r="E247" t="s">
        <v>33</v>
      </c>
      <c r="F247" t="str">
        <f t="shared" si="3"/>
        <v>USA-NYSE</v>
      </c>
      <c r="G247" t="s">
        <v>43</v>
      </c>
      <c r="H247" t="s">
        <v>301</v>
      </c>
      <c r="I247" t="s">
        <v>16</v>
      </c>
      <c r="J247" t="s">
        <v>17</v>
      </c>
      <c r="K247" t="s">
        <v>64</v>
      </c>
      <c r="L247" t="s">
        <v>19</v>
      </c>
      <c r="M247" t="s">
        <v>20</v>
      </c>
    </row>
    <row r="248" spans="1:13" x14ac:dyDescent="0.35">
      <c r="A248" s="5">
        <v>45852</v>
      </c>
      <c r="B248" s="7">
        <f>EOMONTH(Table1[[#This Row],[Announcement_Date]],0)</f>
        <v>45869</v>
      </c>
      <c r="C248" t="s">
        <v>32</v>
      </c>
      <c r="D248" t="s">
        <v>22</v>
      </c>
      <c r="E248" t="s">
        <v>13</v>
      </c>
      <c r="F248" t="str">
        <f t="shared" si="3"/>
        <v>USA-NASDAQ</v>
      </c>
      <c r="G248" t="s">
        <v>57</v>
      </c>
      <c r="H248" t="s">
        <v>302</v>
      </c>
      <c r="I248" t="s">
        <v>25</v>
      </c>
      <c r="J248" t="s">
        <v>17</v>
      </c>
      <c r="K248" t="s">
        <v>52</v>
      </c>
      <c r="L248" t="s">
        <v>27</v>
      </c>
      <c r="M248" t="s">
        <v>42</v>
      </c>
    </row>
    <row r="249" spans="1:13" x14ac:dyDescent="0.35">
      <c r="A249" s="5">
        <v>46077</v>
      </c>
      <c r="B249" s="7">
        <f>EOMONTH(Table1[[#This Row],[Announcement_Date]],0)</f>
        <v>46081</v>
      </c>
      <c r="C249" t="s">
        <v>21</v>
      </c>
      <c r="D249" t="s">
        <v>22</v>
      </c>
      <c r="E249" t="s">
        <v>33</v>
      </c>
      <c r="F249" t="str">
        <f t="shared" si="3"/>
        <v>USA-NYSE</v>
      </c>
      <c r="G249" t="s">
        <v>47</v>
      </c>
      <c r="H249" t="s">
        <v>303</v>
      </c>
      <c r="I249" t="s">
        <v>31</v>
      </c>
      <c r="J249" t="s">
        <v>17</v>
      </c>
      <c r="K249" t="s">
        <v>49</v>
      </c>
      <c r="L249" t="s">
        <v>19</v>
      </c>
      <c r="M249" t="s">
        <v>42</v>
      </c>
    </row>
    <row r="250" spans="1:13" x14ac:dyDescent="0.35">
      <c r="A250" s="5">
        <v>46066</v>
      </c>
      <c r="B250" s="7">
        <f>EOMONTH(Table1[[#This Row],[Announcement_Date]],0)</f>
        <v>46081</v>
      </c>
      <c r="C250" t="s">
        <v>56</v>
      </c>
      <c r="D250" t="s">
        <v>12</v>
      </c>
      <c r="E250" t="s">
        <v>23</v>
      </c>
      <c r="F250" t="str">
        <f t="shared" si="3"/>
        <v>Canada-TSX</v>
      </c>
      <c r="G250" t="s">
        <v>43</v>
      </c>
      <c r="H250" t="s">
        <v>304</v>
      </c>
      <c r="I250" t="s">
        <v>25</v>
      </c>
      <c r="J250" t="s">
        <v>36</v>
      </c>
      <c r="K250" t="s">
        <v>37</v>
      </c>
      <c r="L250" t="s">
        <v>27</v>
      </c>
      <c r="M250" t="s">
        <v>20</v>
      </c>
    </row>
    <row r="251" spans="1:13" x14ac:dyDescent="0.35">
      <c r="A251" s="5">
        <v>46002</v>
      </c>
      <c r="B251" s="7">
        <f>EOMONTH(Table1[[#This Row],[Announcement_Date]],0)</f>
        <v>46022</v>
      </c>
      <c r="C251" t="s">
        <v>108</v>
      </c>
      <c r="D251" t="s">
        <v>22</v>
      </c>
      <c r="E251" t="s">
        <v>23</v>
      </c>
      <c r="F251" t="str">
        <f t="shared" si="3"/>
        <v>USA-TSX</v>
      </c>
      <c r="G251" t="s">
        <v>57</v>
      </c>
      <c r="H251" t="s">
        <v>305</v>
      </c>
      <c r="I251" t="s">
        <v>16</v>
      </c>
      <c r="J251" t="s">
        <v>36</v>
      </c>
      <c r="K251" t="s">
        <v>64</v>
      </c>
      <c r="L251" t="s">
        <v>27</v>
      </c>
      <c r="M251" t="s">
        <v>42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5B3E4-128A-4B17-99AC-35004EBB085C}">
  <dimension ref="N2:N5"/>
  <sheetViews>
    <sheetView workbookViewId="0">
      <selection activeCell="H17" sqref="H17"/>
    </sheetView>
  </sheetViews>
  <sheetFormatPr defaultRowHeight="14.5" x14ac:dyDescent="0.35"/>
  <cols>
    <col min="2" max="2" width="12.36328125" bestFit="1" customWidth="1"/>
    <col min="3" max="3" width="18.1796875" bestFit="1" customWidth="1"/>
    <col min="4" max="4" width="18.453125" bestFit="1" customWidth="1"/>
    <col min="9" max="9" width="12.36328125" bestFit="1" customWidth="1"/>
    <col min="10" max="10" width="18.453125" bestFit="1" customWidth="1"/>
    <col min="12" max="12" width="18.54296875" bestFit="1" customWidth="1"/>
    <col min="13" max="13" width="18.453125" bestFit="1" customWidth="1"/>
  </cols>
  <sheetData>
    <row r="2" spans="14:14" x14ac:dyDescent="0.35">
      <c r="N2" s="6"/>
    </row>
    <row r="3" spans="14:14" x14ac:dyDescent="0.35">
      <c r="N3" s="6"/>
    </row>
    <row r="4" spans="14:14" x14ac:dyDescent="0.35">
      <c r="N4" s="6"/>
    </row>
    <row r="5" spans="14:14" x14ac:dyDescent="0.35">
      <c r="N5" s="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FBAD0-8A18-4BB5-A83C-B935F7FF2F66}">
  <dimension ref="A2:Q67"/>
  <sheetViews>
    <sheetView zoomScale="30" zoomScaleNormal="30" workbookViewId="0">
      <selection activeCell="Z32" sqref="Z32"/>
    </sheetView>
  </sheetViews>
  <sheetFormatPr defaultRowHeight="14.5" x14ac:dyDescent="0.35"/>
  <cols>
    <col min="1" max="1" width="24" bestFit="1" customWidth="1"/>
    <col min="2" max="2" width="29.81640625" bestFit="1" customWidth="1"/>
  </cols>
  <sheetData>
    <row r="2" spans="1:17" x14ac:dyDescent="0.35">
      <c r="A2" s="1" t="s">
        <v>311</v>
      </c>
      <c r="B2" t="s">
        <v>313</v>
      </c>
    </row>
    <row r="3" spans="1:17" x14ac:dyDescent="0.35">
      <c r="A3" s="2" t="s">
        <v>318</v>
      </c>
      <c r="B3" s="9"/>
    </row>
    <row r="4" spans="1:17" x14ac:dyDescent="0.35">
      <c r="A4" s="3" t="s">
        <v>321</v>
      </c>
      <c r="B4" s="9">
        <v>17</v>
      </c>
    </row>
    <row r="5" spans="1:17" x14ac:dyDescent="0.35">
      <c r="A5" s="3" t="s">
        <v>322</v>
      </c>
      <c r="B5" s="9">
        <v>24</v>
      </c>
    </row>
    <row r="6" spans="1:17" x14ac:dyDescent="0.35">
      <c r="A6" s="3" t="s">
        <v>323</v>
      </c>
      <c r="B6" s="9">
        <v>23</v>
      </c>
    </row>
    <row r="7" spans="1:17" x14ac:dyDescent="0.35">
      <c r="A7" s="3" t="s">
        <v>325</v>
      </c>
      <c r="B7" s="9">
        <v>22</v>
      </c>
    </row>
    <row r="8" spans="1:17" x14ac:dyDescent="0.35">
      <c r="A8" s="3" t="s">
        <v>326</v>
      </c>
      <c r="B8" s="9">
        <v>25</v>
      </c>
    </row>
    <row r="9" spans="1:17" x14ac:dyDescent="0.35">
      <c r="A9" s="3" t="s">
        <v>327</v>
      </c>
      <c r="B9" s="9">
        <v>19</v>
      </c>
    </row>
    <row r="10" spans="1:17" x14ac:dyDescent="0.35">
      <c r="A10" s="3" t="s">
        <v>328</v>
      </c>
      <c r="B10" s="9">
        <v>28</v>
      </c>
    </row>
    <row r="11" spans="1:17" x14ac:dyDescent="0.35">
      <c r="A11" s="3" t="s">
        <v>329</v>
      </c>
      <c r="B11" s="9">
        <v>12</v>
      </c>
    </row>
    <row r="12" spans="1:17" x14ac:dyDescent="0.35">
      <c r="A12" s="3" t="s">
        <v>330</v>
      </c>
      <c r="B12" s="9">
        <v>14</v>
      </c>
    </row>
    <row r="13" spans="1:17" x14ac:dyDescent="0.35">
      <c r="A13" s="2" t="s">
        <v>319</v>
      </c>
      <c r="B13" s="9"/>
    </row>
    <row r="14" spans="1:17" x14ac:dyDescent="0.35">
      <c r="A14" s="3" t="s">
        <v>331</v>
      </c>
      <c r="B14" s="9">
        <v>22</v>
      </c>
    </row>
    <row r="15" spans="1:17" x14ac:dyDescent="0.35">
      <c r="A15" s="3" t="s">
        <v>332</v>
      </c>
      <c r="B15" s="9">
        <v>23</v>
      </c>
      <c r="Q15" t="s">
        <v>335</v>
      </c>
    </row>
    <row r="16" spans="1:17" x14ac:dyDescent="0.35">
      <c r="A16" s="3" t="s">
        <v>333</v>
      </c>
      <c r="B16" s="9">
        <v>21</v>
      </c>
    </row>
    <row r="17" spans="1:2" x14ac:dyDescent="0.35">
      <c r="A17" s="2" t="s">
        <v>312</v>
      </c>
      <c r="B17" s="9">
        <v>250</v>
      </c>
    </row>
    <row r="20" spans="1:2" x14ac:dyDescent="0.35">
      <c r="A20" s="1" t="s">
        <v>311</v>
      </c>
      <c r="B20" t="s">
        <v>313</v>
      </c>
    </row>
    <row r="21" spans="1:2" x14ac:dyDescent="0.35">
      <c r="A21" s="2" t="s">
        <v>45</v>
      </c>
      <c r="B21" s="9">
        <v>40</v>
      </c>
    </row>
    <row r="22" spans="1:2" x14ac:dyDescent="0.35">
      <c r="A22" s="2" t="s">
        <v>64</v>
      </c>
      <c r="B22" s="9">
        <v>37</v>
      </c>
    </row>
    <row r="23" spans="1:2" x14ac:dyDescent="0.35">
      <c r="A23" s="2" t="s">
        <v>18</v>
      </c>
      <c r="B23" s="9">
        <v>36</v>
      </c>
    </row>
    <row r="24" spans="1:2" x14ac:dyDescent="0.35">
      <c r="A24" s="2" t="s">
        <v>40</v>
      </c>
      <c r="B24" s="9">
        <v>35</v>
      </c>
    </row>
    <row r="25" spans="1:2" x14ac:dyDescent="0.35">
      <c r="A25" s="2" t="s">
        <v>37</v>
      </c>
      <c r="B25" s="9">
        <v>35</v>
      </c>
    </row>
    <row r="26" spans="1:2" x14ac:dyDescent="0.35">
      <c r="A26" s="2" t="s">
        <v>52</v>
      </c>
      <c r="B26" s="9">
        <v>34</v>
      </c>
    </row>
    <row r="27" spans="1:2" x14ac:dyDescent="0.35">
      <c r="A27" s="2" t="s">
        <v>49</v>
      </c>
      <c r="B27" s="9">
        <v>33</v>
      </c>
    </row>
    <row r="28" spans="1:2" x14ac:dyDescent="0.35">
      <c r="A28" s="2" t="s">
        <v>312</v>
      </c>
      <c r="B28" s="9">
        <v>250</v>
      </c>
    </row>
    <row r="34" spans="1:2" x14ac:dyDescent="0.35">
      <c r="A34" s="1" t="s">
        <v>311</v>
      </c>
      <c r="B34" t="s">
        <v>313</v>
      </c>
    </row>
    <row r="35" spans="1:2" x14ac:dyDescent="0.35">
      <c r="A35" s="2" t="s">
        <v>43</v>
      </c>
      <c r="B35" s="9">
        <v>45</v>
      </c>
    </row>
    <row r="36" spans="1:2" x14ac:dyDescent="0.35">
      <c r="A36" s="2" t="s">
        <v>34</v>
      </c>
      <c r="B36" s="9">
        <v>45</v>
      </c>
    </row>
    <row r="37" spans="1:2" x14ac:dyDescent="0.35">
      <c r="A37" s="2" t="s">
        <v>47</v>
      </c>
      <c r="B37" s="9">
        <v>43</v>
      </c>
    </row>
    <row r="38" spans="1:2" x14ac:dyDescent="0.35">
      <c r="A38" s="2" t="s">
        <v>14</v>
      </c>
      <c r="B38" s="9">
        <v>41</v>
      </c>
    </row>
    <row r="39" spans="1:2" x14ac:dyDescent="0.35">
      <c r="A39" s="2" t="s">
        <v>29</v>
      </c>
      <c r="B39" s="9">
        <v>40</v>
      </c>
    </row>
    <row r="40" spans="1:2" x14ac:dyDescent="0.35">
      <c r="A40" s="2" t="s">
        <v>57</v>
      </c>
      <c r="B40" s="9">
        <v>36</v>
      </c>
    </row>
    <row r="41" spans="1:2" x14ac:dyDescent="0.35">
      <c r="A41" s="2" t="s">
        <v>312</v>
      </c>
      <c r="B41" s="9">
        <v>250</v>
      </c>
    </row>
    <row r="49" spans="1:2" x14ac:dyDescent="0.35">
      <c r="A49" s="1" t="s">
        <v>311</v>
      </c>
      <c r="B49" t="s">
        <v>313</v>
      </c>
    </row>
    <row r="50" spans="1:2" x14ac:dyDescent="0.35">
      <c r="A50" s="2" t="s">
        <v>12</v>
      </c>
      <c r="B50" s="9">
        <v>131</v>
      </c>
    </row>
    <row r="51" spans="1:2" x14ac:dyDescent="0.35">
      <c r="A51" s="2" t="s">
        <v>22</v>
      </c>
      <c r="B51" s="9">
        <v>119</v>
      </c>
    </row>
    <row r="52" spans="1:2" x14ac:dyDescent="0.35">
      <c r="A52" s="2" t="s">
        <v>312</v>
      </c>
      <c r="B52" s="9">
        <v>250</v>
      </c>
    </row>
    <row r="63" spans="1:2" x14ac:dyDescent="0.35">
      <c r="A63" s="1" t="s">
        <v>311</v>
      </c>
      <c r="B63" t="s">
        <v>313</v>
      </c>
    </row>
    <row r="64" spans="1:2" x14ac:dyDescent="0.35">
      <c r="A64" s="2" t="s">
        <v>27</v>
      </c>
      <c r="B64" s="9">
        <v>96</v>
      </c>
    </row>
    <row r="65" spans="1:2" x14ac:dyDescent="0.35">
      <c r="A65" s="2" t="s">
        <v>19</v>
      </c>
      <c r="B65" s="9">
        <v>81</v>
      </c>
    </row>
    <row r="66" spans="1:2" x14ac:dyDescent="0.35">
      <c r="A66" s="2" t="s">
        <v>41</v>
      </c>
      <c r="B66" s="9">
        <v>73</v>
      </c>
    </row>
    <row r="67" spans="1:2" x14ac:dyDescent="0.35">
      <c r="A67" s="2" t="s">
        <v>312</v>
      </c>
      <c r="B67" s="9">
        <v>250</v>
      </c>
    </row>
  </sheetData>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44CC7-A3AB-41DE-ABA0-D52CBDDA6981}">
  <dimension ref="A1:R20"/>
  <sheetViews>
    <sheetView showGridLines="0" tabSelected="1" zoomScale="30" zoomScaleNormal="30" workbookViewId="0">
      <selection activeCell="AQ45" sqref="AQ45"/>
    </sheetView>
  </sheetViews>
  <sheetFormatPr defaultRowHeight="14.5" x14ac:dyDescent="0.35"/>
  <sheetData>
    <row r="1" spans="1:18" ht="14.5" customHeight="1" x14ac:dyDescent="0.35">
      <c r="A1" s="8" t="s">
        <v>320</v>
      </c>
      <c r="B1" s="8"/>
      <c r="C1" s="8"/>
      <c r="D1" s="8"/>
      <c r="E1" s="8"/>
      <c r="F1" s="8"/>
      <c r="G1" s="8"/>
      <c r="H1" s="8"/>
      <c r="I1" s="8"/>
      <c r="J1" s="8"/>
      <c r="K1" s="8"/>
      <c r="L1" s="8"/>
      <c r="M1" s="8"/>
      <c r="N1" s="8"/>
      <c r="O1" s="8"/>
      <c r="P1" s="8"/>
      <c r="Q1" s="8"/>
      <c r="R1" s="8"/>
    </row>
    <row r="2" spans="1:18" ht="14.5" customHeight="1" x14ac:dyDescent="0.35">
      <c r="A2" s="8"/>
      <c r="B2" s="8"/>
      <c r="C2" s="8"/>
      <c r="D2" s="8"/>
      <c r="E2" s="8"/>
      <c r="F2" s="8"/>
      <c r="G2" s="8"/>
      <c r="H2" s="8"/>
      <c r="I2" s="8"/>
      <c r="J2" s="8"/>
      <c r="K2" s="8"/>
      <c r="L2" s="8"/>
      <c r="M2" s="8"/>
      <c r="N2" s="8"/>
      <c r="O2" s="8"/>
      <c r="P2" s="8"/>
      <c r="Q2" s="8"/>
      <c r="R2" s="8"/>
    </row>
    <row r="3" spans="1:18" ht="14.5" customHeight="1" x14ac:dyDescent="0.35">
      <c r="A3" s="8"/>
      <c r="B3" s="8"/>
      <c r="C3" s="8"/>
      <c r="D3" s="8"/>
      <c r="E3" s="8"/>
      <c r="F3" s="8"/>
      <c r="G3" s="8"/>
      <c r="H3" s="8"/>
      <c r="I3" s="8"/>
      <c r="J3" s="8"/>
      <c r="K3" s="8"/>
      <c r="L3" s="8"/>
      <c r="M3" s="8"/>
      <c r="N3" s="8"/>
      <c r="O3" s="8"/>
      <c r="P3" s="8"/>
      <c r="Q3" s="8"/>
      <c r="R3" s="8"/>
    </row>
    <row r="4" spans="1:18" ht="14.5" customHeight="1" x14ac:dyDescent="0.35">
      <c r="A4" s="8"/>
      <c r="B4" s="8"/>
      <c r="C4" s="8"/>
      <c r="D4" s="8"/>
      <c r="E4" s="8"/>
      <c r="F4" s="8"/>
      <c r="G4" s="8"/>
      <c r="H4" s="8"/>
      <c r="I4" s="8"/>
      <c r="J4" s="8"/>
      <c r="K4" s="8"/>
      <c r="L4" s="8"/>
      <c r="M4" s="8"/>
      <c r="N4" s="8"/>
      <c r="O4" s="8"/>
      <c r="P4" s="8"/>
      <c r="Q4" s="8"/>
      <c r="R4" s="8"/>
    </row>
    <row r="5" spans="1:18" ht="14.5" customHeight="1" x14ac:dyDescent="0.35">
      <c r="A5" s="8"/>
      <c r="B5" s="8"/>
      <c r="C5" s="8"/>
      <c r="D5" s="8"/>
      <c r="E5" s="8"/>
      <c r="F5" s="8"/>
      <c r="G5" s="8"/>
      <c r="H5" s="8"/>
      <c r="I5" s="8"/>
      <c r="J5" s="8"/>
      <c r="K5" s="8"/>
      <c r="L5" s="8"/>
      <c r="M5" s="8"/>
      <c r="N5" s="8"/>
      <c r="O5" s="8"/>
      <c r="P5" s="8"/>
      <c r="Q5" s="8"/>
      <c r="R5" s="8"/>
    </row>
    <row r="6" spans="1:18" ht="14.5" customHeight="1" x14ac:dyDescent="0.35">
      <c r="A6" s="8"/>
      <c r="B6" s="8"/>
      <c r="C6" s="8"/>
      <c r="D6" s="8"/>
      <c r="E6" s="8"/>
      <c r="F6" s="8"/>
      <c r="G6" s="8"/>
      <c r="H6" s="8"/>
      <c r="I6" s="8"/>
      <c r="J6" s="8"/>
      <c r="K6" s="8"/>
      <c r="L6" s="8"/>
      <c r="M6" s="8"/>
      <c r="N6" s="8"/>
      <c r="O6" s="8"/>
      <c r="P6" s="8"/>
      <c r="Q6" s="8"/>
      <c r="R6" s="8"/>
    </row>
    <row r="20" spans="17:17" x14ac:dyDescent="0.35">
      <c r="Q20" t="s">
        <v>334</v>
      </c>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0187F-833C-4BA2-AA3B-71E03E2CE31D}">
  <dimension ref="A1:E6"/>
  <sheetViews>
    <sheetView workbookViewId="0">
      <selection activeCell="B3" sqref="B3"/>
    </sheetView>
  </sheetViews>
  <sheetFormatPr defaultRowHeight="14.5" x14ac:dyDescent="0.35"/>
  <cols>
    <col min="1" max="1" width="22.90625" bestFit="1" customWidth="1"/>
    <col min="2" max="2" width="23.81640625" bestFit="1" customWidth="1"/>
    <col min="7" max="7" width="18.54296875" bestFit="1" customWidth="1"/>
    <col min="8" max="8" width="18.453125" bestFit="1" customWidth="1"/>
  </cols>
  <sheetData>
    <row r="1" spans="1:5" x14ac:dyDescent="0.35">
      <c r="A1" s="4" t="s">
        <v>306</v>
      </c>
      <c r="B1" s="4" t="s">
        <v>307</v>
      </c>
    </row>
    <row r="2" spans="1:5" x14ac:dyDescent="0.35">
      <c r="A2" s="4" t="s">
        <v>308</v>
      </c>
      <c r="B2" s="4">
        <f>COUNTA(Corporate_Actions_Data!A2:A251)</f>
        <v>250</v>
      </c>
    </row>
    <row r="3" spans="1:5" x14ac:dyDescent="0.35">
      <c r="A3" s="4" t="s">
        <v>309</v>
      </c>
      <c r="B3" s="4">
        <f>COUNTA(_xlfn.UNIQUE(Corporate_Actions_Data!C2:C251))</f>
        <v>15</v>
      </c>
    </row>
    <row r="4" spans="1:5" x14ac:dyDescent="0.35">
      <c r="A4" s="4" t="s">
        <v>310</v>
      </c>
      <c r="B4" s="4" t="s">
        <v>314</v>
      </c>
    </row>
    <row r="5" spans="1:5" x14ac:dyDescent="0.35">
      <c r="A5" s="4" t="s">
        <v>315</v>
      </c>
      <c r="B5" s="4">
        <f ca="1">COUNTIFS(Corporate_Actions_Data!A2:A251, "&gt;=" &amp; EOMONTH(TODAY(),-1) + 1,Corporate_Actions_Data!A2:A251, "&lt;=" &amp; EOMONTH(TODAY(),0))</f>
        <v>0</v>
      </c>
    </row>
    <row r="6" spans="1:5" x14ac:dyDescent="0.35">
      <c r="A6" s="4" t="s">
        <v>316</v>
      </c>
      <c r="B6" s="4">
        <f>COUNTA(_xlfn.UNIQUE(Corporate_Actions_Data!D2:D251))</f>
        <v>2</v>
      </c>
      <c r="C6">
        <f>COUNTA(_xlfn.UNIQUE(Corporate_Actions_Data!E2:E251))</f>
        <v>3</v>
      </c>
      <c r="D6">
        <f>COUNTA(_xlfn.UNIQUE(Corporate_Actions_Data!F2:F251))</f>
        <v>6</v>
      </c>
      <c r="E6" cm="1">
        <f t="array" ref="E6">COUNTA(_xlfn.UNIQUE(Corporate_Actions_Data!D2:D251 &amp; "-" &amp; Corporate_Actions_Data!E2:E251))</f>
        <v>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03E72A-891D-4320-9348-D8DBAB1397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Corporate_Actions_Data</vt:lpstr>
      <vt:lpstr>KPI</vt:lpstr>
      <vt:lpstr>Pivot</vt:lpstr>
      <vt:lpstr>Dashboard</vt:lpstr>
      <vt:lpstr>KPI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jyothigarnepelli23@outlook.com</cp:lastModifiedBy>
  <dcterms:created xsi:type="dcterms:W3CDTF">2026-03-12T09:29:48Z</dcterms:created>
  <dcterms:modified xsi:type="dcterms:W3CDTF">2026-04-13T17:07:54Z</dcterms:modified>
</cp:coreProperties>
</file>